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555" windowWidth="19815" windowHeight="7365" activeTab="1"/>
  </bookViews>
  <sheets>
    <sheet name="Кратко Смета" sheetId="1" r:id="rId1"/>
    <sheet name="Смета_лит.Е" sheetId="2" r:id="rId2"/>
    <sheet name="Расчеты" sheetId="3" state="hidden" r:id="rId3"/>
    <sheet name="Доп." sheetId="4" r:id="rId4"/>
    <sheet name="Лист1" sheetId="5" r:id="rId5"/>
  </sheets>
  <calcPr calcId="144525"/>
</workbook>
</file>

<file path=xl/calcChain.xml><?xml version="1.0" encoding="utf-8"?>
<calcChain xmlns="http://schemas.openxmlformats.org/spreadsheetml/2006/main">
  <c r="H9" i="2" l="1"/>
  <c r="H10" i="2"/>
  <c r="H74" i="2" s="1"/>
  <c r="G76" i="2" s="1"/>
  <c r="H76" i="2" s="1"/>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8" i="2"/>
  <c r="K120" i="5" l="1"/>
  <c r="G12" i="5"/>
  <c r="G14" i="5"/>
  <c r="G18" i="5"/>
  <c r="G22" i="5"/>
  <c r="G24" i="5"/>
  <c r="G26" i="5"/>
  <c r="G28" i="5"/>
  <c r="G33" i="5"/>
  <c r="G35" i="5"/>
  <c r="G36" i="5"/>
  <c r="G43" i="5"/>
  <c r="G50" i="5"/>
  <c r="G55" i="5"/>
  <c r="G57" i="5"/>
  <c r="G65" i="5"/>
  <c r="G66" i="5"/>
  <c r="G69" i="5"/>
  <c r="H69" i="5" s="1"/>
  <c r="J69" i="5" s="1"/>
  <c r="G71" i="5"/>
  <c r="G74" i="5"/>
  <c r="H74" i="5" s="1"/>
  <c r="J74" i="5" s="1"/>
  <c r="G76" i="5"/>
  <c r="G79" i="5"/>
  <c r="H79" i="5" s="1"/>
  <c r="J79" i="5" s="1"/>
  <c r="G81" i="5"/>
  <c r="G83" i="5"/>
  <c r="H83" i="5" s="1"/>
  <c r="J83" i="5" s="1"/>
  <c r="G87" i="5"/>
  <c r="G90" i="5"/>
  <c r="H90" i="5" s="1"/>
  <c r="J90" i="5" s="1"/>
  <c r="G92" i="5"/>
  <c r="G95" i="5"/>
  <c r="H95" i="5" s="1"/>
  <c r="J95" i="5" s="1"/>
  <c r="G97" i="5"/>
  <c r="G100" i="5"/>
  <c r="H100" i="5" s="1"/>
  <c r="J100" i="5" s="1"/>
  <c r="G104" i="5"/>
  <c r="G106" i="5"/>
  <c r="H106" i="5" s="1"/>
  <c r="J106" i="5" s="1"/>
  <c r="G108" i="5"/>
  <c r="G110" i="5"/>
  <c r="H110" i="5" s="1"/>
  <c r="J110" i="5" s="1"/>
  <c r="G113" i="5"/>
  <c r="F68" i="5"/>
  <c r="I120" i="5"/>
  <c r="H66" i="5"/>
  <c r="J66" i="5" s="1"/>
  <c r="H71" i="5"/>
  <c r="J71" i="5" s="1"/>
  <c r="H81" i="5"/>
  <c r="J81" i="5" s="1"/>
  <c r="H87" i="5"/>
  <c r="J87" i="5" s="1"/>
  <c r="H97" i="5"/>
  <c r="J97" i="5" s="1"/>
  <c r="H113" i="5"/>
  <c r="J113" i="5" s="1"/>
  <c r="H12" i="5"/>
  <c r="J12" i="5" s="1"/>
  <c r="H14" i="5"/>
  <c r="J14" i="5" s="1"/>
  <c r="H18" i="5"/>
  <c r="J18" i="5" s="1"/>
  <c r="H22" i="5"/>
  <c r="J22" i="5" s="1"/>
  <c r="H24" i="5"/>
  <c r="J24" i="5" s="1"/>
  <c r="H26" i="5"/>
  <c r="J26" i="5" s="1"/>
  <c r="H28" i="5"/>
  <c r="J28" i="5" s="1"/>
  <c r="H33" i="5"/>
  <c r="J33" i="5" s="1"/>
  <c r="H35" i="5"/>
  <c r="J35" i="5" s="1"/>
  <c r="H36" i="5"/>
  <c r="J36" i="5" s="1"/>
  <c r="H43" i="5"/>
  <c r="J43" i="5" s="1"/>
  <c r="H50" i="5"/>
  <c r="J50" i="5" s="1"/>
  <c r="H55" i="5"/>
  <c r="J55" i="5" s="1"/>
  <c r="H57" i="5"/>
  <c r="J57" i="5" s="1"/>
  <c r="H65" i="5"/>
  <c r="J65" i="5" s="1"/>
  <c r="H76" i="5"/>
  <c r="J76" i="5" s="1"/>
  <c r="H92" i="5"/>
  <c r="J92" i="5" s="1"/>
  <c r="H104" i="5"/>
  <c r="J104" i="5" s="1"/>
  <c r="H108" i="5"/>
  <c r="J108" i="5" s="1"/>
  <c r="F119" i="5"/>
  <c r="G119" i="5" s="1"/>
  <c r="H119" i="5" s="1"/>
  <c r="J119" i="5" s="1"/>
  <c r="F118" i="5"/>
  <c r="G118" i="5" s="1"/>
  <c r="H118" i="5" s="1"/>
  <c r="J118" i="5" s="1"/>
  <c r="F117" i="5"/>
  <c r="G117" i="5" s="1"/>
  <c r="H117" i="5" s="1"/>
  <c r="J117" i="5" s="1"/>
  <c r="F116" i="5"/>
  <c r="G116" i="5" s="1"/>
  <c r="H116" i="5" s="1"/>
  <c r="J116" i="5" s="1"/>
  <c r="F115" i="5"/>
  <c r="G115" i="5" s="1"/>
  <c r="H115" i="5" s="1"/>
  <c r="J115" i="5" s="1"/>
  <c r="F114" i="5"/>
  <c r="G114" i="5" s="1"/>
  <c r="H114" i="5" s="1"/>
  <c r="J114" i="5" s="1"/>
  <c r="F112" i="5"/>
  <c r="G112" i="5" s="1"/>
  <c r="H112" i="5" s="1"/>
  <c r="J112" i="5" s="1"/>
  <c r="F111" i="5"/>
  <c r="G111" i="5" s="1"/>
  <c r="H111" i="5" s="1"/>
  <c r="J111" i="5" s="1"/>
  <c r="F109" i="5"/>
  <c r="G109" i="5" s="1"/>
  <c r="H109" i="5" s="1"/>
  <c r="J109" i="5" s="1"/>
  <c r="F107" i="5"/>
  <c r="G107" i="5" s="1"/>
  <c r="H107" i="5" s="1"/>
  <c r="J107" i="5" s="1"/>
  <c r="F105" i="5"/>
  <c r="G105" i="5" s="1"/>
  <c r="H105" i="5" s="1"/>
  <c r="J105" i="5" s="1"/>
  <c r="F103" i="5"/>
  <c r="G103" i="5" s="1"/>
  <c r="H103" i="5" s="1"/>
  <c r="J103" i="5" s="1"/>
  <c r="F102" i="5"/>
  <c r="G102" i="5" s="1"/>
  <c r="H102" i="5" s="1"/>
  <c r="J102" i="5" s="1"/>
  <c r="F101" i="5"/>
  <c r="G101" i="5" s="1"/>
  <c r="H101" i="5" s="1"/>
  <c r="J101" i="5" s="1"/>
  <c r="F99" i="5"/>
  <c r="G99" i="5" s="1"/>
  <c r="H99" i="5" s="1"/>
  <c r="J99" i="5" s="1"/>
  <c r="F98" i="5"/>
  <c r="G98" i="5" s="1"/>
  <c r="H98" i="5" s="1"/>
  <c r="J98" i="5" s="1"/>
  <c r="F96" i="5"/>
  <c r="G96" i="5" s="1"/>
  <c r="H96" i="5" s="1"/>
  <c r="J96" i="5" s="1"/>
  <c r="F94" i="5"/>
  <c r="G94" i="5" s="1"/>
  <c r="H94" i="5" s="1"/>
  <c r="J94" i="5" s="1"/>
  <c r="F93" i="5"/>
  <c r="G93" i="5" s="1"/>
  <c r="H93" i="5" s="1"/>
  <c r="J93" i="5" s="1"/>
  <c r="F91" i="5"/>
  <c r="G91" i="5" s="1"/>
  <c r="H91" i="5" s="1"/>
  <c r="J91" i="5" s="1"/>
  <c r="F89" i="5"/>
  <c r="G89" i="5" s="1"/>
  <c r="H89" i="5" s="1"/>
  <c r="J89" i="5" s="1"/>
  <c r="F88" i="5"/>
  <c r="G88" i="5" s="1"/>
  <c r="H88" i="5" s="1"/>
  <c r="J88" i="5" s="1"/>
  <c r="F86" i="5"/>
  <c r="G86" i="5" s="1"/>
  <c r="H86" i="5" s="1"/>
  <c r="J86" i="5" s="1"/>
  <c r="D85" i="5"/>
  <c r="F85" i="5" s="1"/>
  <c r="G85" i="5" s="1"/>
  <c r="H85" i="5" s="1"/>
  <c r="J85" i="5" s="1"/>
  <c r="F84" i="5"/>
  <c r="G84" i="5" s="1"/>
  <c r="H84" i="5" s="1"/>
  <c r="J84" i="5" s="1"/>
  <c r="F82" i="5"/>
  <c r="G82" i="5" s="1"/>
  <c r="H82" i="5" s="1"/>
  <c r="J82" i="5" s="1"/>
  <c r="F80" i="5"/>
  <c r="G80" i="5" s="1"/>
  <c r="H80" i="5" s="1"/>
  <c r="J80" i="5" s="1"/>
  <c r="F78" i="5"/>
  <c r="G78" i="5" s="1"/>
  <c r="H78" i="5" s="1"/>
  <c r="J78" i="5" s="1"/>
  <c r="F77" i="5"/>
  <c r="G77" i="5" s="1"/>
  <c r="H77" i="5" s="1"/>
  <c r="J77" i="5" s="1"/>
  <c r="F75" i="5"/>
  <c r="G75" i="5" s="1"/>
  <c r="H75" i="5" s="1"/>
  <c r="J75" i="5" s="1"/>
  <c r="F73" i="5"/>
  <c r="G73" i="5" s="1"/>
  <c r="H73" i="5" s="1"/>
  <c r="J73" i="5" s="1"/>
  <c r="F72" i="5"/>
  <c r="G72" i="5" s="1"/>
  <c r="H72" i="5" s="1"/>
  <c r="J72" i="5" s="1"/>
  <c r="F70" i="5"/>
  <c r="G70" i="5" s="1"/>
  <c r="H70" i="5" s="1"/>
  <c r="J70" i="5" s="1"/>
  <c r="F67" i="5"/>
  <c r="F64" i="5"/>
  <c r="G64" i="5" s="1"/>
  <c r="H64" i="5" s="1"/>
  <c r="J64" i="5" s="1"/>
  <c r="F63" i="5"/>
  <c r="G63" i="5" s="1"/>
  <c r="H63" i="5" s="1"/>
  <c r="J63" i="5" s="1"/>
  <c r="F62" i="5"/>
  <c r="G62" i="5" s="1"/>
  <c r="H62" i="5" s="1"/>
  <c r="J62" i="5" s="1"/>
  <c r="F61" i="5"/>
  <c r="G61" i="5" s="1"/>
  <c r="H61" i="5" s="1"/>
  <c r="J61" i="5" s="1"/>
  <c r="F60" i="5"/>
  <c r="G60" i="5" s="1"/>
  <c r="H60" i="5" s="1"/>
  <c r="J60" i="5" s="1"/>
  <c r="F59" i="5"/>
  <c r="G59" i="5" s="1"/>
  <c r="H59" i="5" s="1"/>
  <c r="J59" i="5" s="1"/>
  <c r="F58" i="5"/>
  <c r="G58" i="5" s="1"/>
  <c r="H58" i="5" s="1"/>
  <c r="J58" i="5" s="1"/>
  <c r="F56" i="5"/>
  <c r="G56" i="5" s="1"/>
  <c r="F54" i="5"/>
  <c r="G54" i="5" s="1"/>
  <c r="H54" i="5" s="1"/>
  <c r="J54" i="5" s="1"/>
  <c r="F53" i="5"/>
  <c r="G53" i="5" s="1"/>
  <c r="H53" i="5" s="1"/>
  <c r="J53" i="5" s="1"/>
  <c r="F52" i="5"/>
  <c r="G52" i="5" s="1"/>
  <c r="H52" i="5" s="1"/>
  <c r="J52" i="5" s="1"/>
  <c r="F51" i="5"/>
  <c r="G51" i="5" s="1"/>
  <c r="H51" i="5" s="1"/>
  <c r="J51" i="5" s="1"/>
  <c r="F49" i="5"/>
  <c r="G49" i="5" s="1"/>
  <c r="H49" i="5" s="1"/>
  <c r="J49" i="5" s="1"/>
  <c r="F48" i="5"/>
  <c r="G48" i="5" s="1"/>
  <c r="H48" i="5" s="1"/>
  <c r="J48" i="5" s="1"/>
  <c r="F47" i="5"/>
  <c r="G47" i="5" s="1"/>
  <c r="H47" i="5" s="1"/>
  <c r="J47" i="5" s="1"/>
  <c r="F46" i="5"/>
  <c r="G46" i="5" s="1"/>
  <c r="H46" i="5" s="1"/>
  <c r="J46" i="5" s="1"/>
  <c r="F45" i="5"/>
  <c r="G45" i="5" s="1"/>
  <c r="H45" i="5" s="1"/>
  <c r="J45" i="5" s="1"/>
  <c r="F44" i="5"/>
  <c r="G44" i="5" s="1"/>
  <c r="H44" i="5" s="1"/>
  <c r="J44" i="5" s="1"/>
  <c r="F42" i="5"/>
  <c r="G42" i="5" s="1"/>
  <c r="H42" i="5" s="1"/>
  <c r="J42" i="5" s="1"/>
  <c r="F41" i="5"/>
  <c r="G41" i="5" s="1"/>
  <c r="H41" i="5" s="1"/>
  <c r="J41" i="5" s="1"/>
  <c r="F40" i="5"/>
  <c r="G40" i="5" s="1"/>
  <c r="H40" i="5" s="1"/>
  <c r="J40" i="5" s="1"/>
  <c r="F39" i="5"/>
  <c r="G39" i="5" s="1"/>
  <c r="H39" i="5" s="1"/>
  <c r="J39" i="5" s="1"/>
  <c r="F38" i="5"/>
  <c r="G38" i="5" s="1"/>
  <c r="H38" i="5" s="1"/>
  <c r="J38" i="5" s="1"/>
  <c r="F37" i="5"/>
  <c r="G37" i="5" s="1"/>
  <c r="H37" i="5" s="1"/>
  <c r="J37" i="5" s="1"/>
  <c r="F34" i="5"/>
  <c r="G34" i="5" s="1"/>
  <c r="H34" i="5" s="1"/>
  <c r="J34" i="5" s="1"/>
  <c r="F32" i="5"/>
  <c r="G32" i="5" s="1"/>
  <c r="H32" i="5" s="1"/>
  <c r="J32" i="5" s="1"/>
  <c r="F31" i="5"/>
  <c r="G31" i="5" s="1"/>
  <c r="H31" i="5" s="1"/>
  <c r="J31" i="5" s="1"/>
  <c r="F30" i="5"/>
  <c r="G30" i="5" s="1"/>
  <c r="H30" i="5" s="1"/>
  <c r="J30" i="5" s="1"/>
  <c r="F29" i="5"/>
  <c r="G29" i="5" s="1"/>
  <c r="H29" i="5" s="1"/>
  <c r="J29" i="5" s="1"/>
  <c r="F27" i="5"/>
  <c r="G27" i="5" s="1"/>
  <c r="H27" i="5" s="1"/>
  <c r="J27" i="5" s="1"/>
  <c r="F25" i="5"/>
  <c r="G25" i="5" s="1"/>
  <c r="H25" i="5" s="1"/>
  <c r="J25" i="5" s="1"/>
  <c r="F23" i="5"/>
  <c r="G23" i="5" s="1"/>
  <c r="H23" i="5" s="1"/>
  <c r="J23" i="5" s="1"/>
  <c r="F21" i="5"/>
  <c r="G21" i="5" s="1"/>
  <c r="H21" i="5" s="1"/>
  <c r="J21" i="5" s="1"/>
  <c r="F20" i="5"/>
  <c r="G20" i="5" s="1"/>
  <c r="H20" i="5" s="1"/>
  <c r="J20" i="5" s="1"/>
  <c r="F19" i="5"/>
  <c r="G19" i="5" s="1"/>
  <c r="H19" i="5" s="1"/>
  <c r="J19" i="5" s="1"/>
  <c r="F17" i="5"/>
  <c r="G17" i="5" s="1"/>
  <c r="H17" i="5" s="1"/>
  <c r="J17" i="5" s="1"/>
  <c r="F16" i="5"/>
  <c r="G16" i="5" s="1"/>
  <c r="H16" i="5" s="1"/>
  <c r="J16" i="5" s="1"/>
  <c r="F15" i="5"/>
  <c r="G15" i="5" s="1"/>
  <c r="H15" i="5" s="1"/>
  <c r="J15" i="5" s="1"/>
  <c r="F13" i="5"/>
  <c r="G13" i="5" s="1"/>
  <c r="H13" i="5" s="1"/>
  <c r="J13" i="5" s="1"/>
  <c r="F11" i="5"/>
  <c r="G11" i="5" s="1"/>
  <c r="H11" i="5" s="1"/>
  <c r="J11" i="5" s="1"/>
  <c r="F10" i="5"/>
  <c r="G10" i="5" s="1"/>
  <c r="H10" i="5" s="1"/>
  <c r="J10" i="5" s="1"/>
  <c r="F9" i="5"/>
  <c r="G9" i="5" s="1"/>
  <c r="H9" i="5" s="1"/>
  <c r="J9" i="5" s="1"/>
  <c r="F8" i="5"/>
  <c r="G8" i="5" s="1"/>
  <c r="H8" i="5" s="1"/>
  <c r="J8" i="5" s="1"/>
  <c r="F7" i="5"/>
  <c r="G7" i="5" s="1"/>
  <c r="H7" i="5" s="1"/>
  <c r="J7" i="5" s="1"/>
  <c r="F6" i="5"/>
  <c r="G6" i="5" s="1"/>
  <c r="H6" i="5" s="1"/>
  <c r="J6" i="5" s="1"/>
  <c r="F5" i="5"/>
  <c r="G5" i="5" s="1"/>
  <c r="H5" i="5" s="1"/>
  <c r="J5" i="5" s="1"/>
  <c r="F4" i="5"/>
  <c r="G4" i="5" s="1"/>
  <c r="H4" i="5" s="1"/>
  <c r="J4" i="5" s="1"/>
  <c r="F3" i="5"/>
  <c r="G3" i="5" s="1"/>
  <c r="H3" i="5" s="1"/>
  <c r="J3" i="5" s="1"/>
  <c r="G67" i="5" l="1"/>
  <c r="H67" i="5" s="1"/>
  <c r="J67" i="5" s="1"/>
  <c r="G68" i="5"/>
  <c r="H68" i="5" s="1"/>
  <c r="J68" i="5" s="1"/>
  <c r="H56" i="5"/>
  <c r="G120" i="5"/>
  <c r="G122" i="5" s="1"/>
  <c r="G123" i="5" s="1"/>
  <c r="F120" i="5"/>
  <c r="E122" i="5" l="1"/>
  <c r="F122" i="5" s="1"/>
  <c r="F123" i="5" s="1"/>
  <c r="J56" i="5"/>
  <c r="J120" i="5" s="1"/>
  <c r="H120" i="5"/>
  <c r="F43" i="1" l="1"/>
  <c r="F32" i="1"/>
  <c r="D23" i="3" l="1"/>
  <c r="F18" i="3"/>
  <c r="F14" i="3"/>
  <c r="D14" i="3"/>
  <c r="D10" i="3"/>
  <c r="C4" i="3"/>
  <c r="D4" i="3" s="1"/>
  <c r="C3" i="3"/>
  <c r="D3" i="3" s="1"/>
  <c r="C2" i="3"/>
  <c r="D2" i="3" s="1"/>
  <c r="F73" i="2"/>
  <c r="F72" i="2"/>
  <c r="F71" i="2"/>
  <c r="F70" i="2"/>
  <c r="F69" i="2"/>
  <c r="F67" i="2"/>
  <c r="F65" i="2"/>
  <c r="F64" i="2"/>
  <c r="F62" i="2"/>
  <c r="E33" i="3" s="1"/>
  <c r="F33" i="3" s="1"/>
  <c r="F60" i="2"/>
  <c r="F58" i="2"/>
  <c r="F56" i="2"/>
  <c r="F55" i="2"/>
  <c r="F54" i="2"/>
  <c r="F52" i="2"/>
  <c r="F51" i="2"/>
  <c r="F49" i="2"/>
  <c r="E28" i="3" s="1"/>
  <c r="F28" i="3" s="1"/>
  <c r="F47" i="2"/>
  <c r="F46" i="2"/>
  <c r="E27" i="3" s="1"/>
  <c r="F27" i="3" s="1"/>
  <c r="F44" i="2"/>
  <c r="F42" i="2"/>
  <c r="F41" i="2"/>
  <c r="F39" i="2"/>
  <c r="D38" i="2"/>
  <c r="F38" i="2" s="1"/>
  <c r="F37" i="2"/>
  <c r="F35" i="2"/>
  <c r="D162" i="1" s="1"/>
  <c r="F33" i="2"/>
  <c r="F31" i="2"/>
  <c r="F30" i="2"/>
  <c r="F28" i="2"/>
  <c r="D159" i="1" s="1"/>
  <c r="F159" i="1" s="1"/>
  <c r="F26" i="2"/>
  <c r="F25" i="2"/>
  <c r="F23" i="2"/>
  <c r="F21" i="2"/>
  <c r="F19" i="2"/>
  <c r="F18" i="2"/>
  <c r="F17" i="2"/>
  <c r="F16" i="2"/>
  <c r="F15" i="2"/>
  <c r="F14" i="2"/>
  <c r="F13" i="2"/>
  <c r="F11" i="2"/>
  <c r="F10" i="2"/>
  <c r="F9" i="2"/>
  <c r="F8" i="2"/>
  <c r="D145" i="1"/>
  <c r="F145" i="1" s="1"/>
  <c r="D10" i="1"/>
  <c r="F10" i="1" s="1"/>
  <c r="F176" i="1"/>
  <c r="F175" i="1"/>
  <c r="D173" i="1"/>
  <c r="F173" i="1" s="1"/>
  <c r="D170" i="1"/>
  <c r="F170" i="1" s="1"/>
  <c r="D164" i="1"/>
  <c r="F164" i="1" s="1"/>
  <c r="D163" i="1"/>
  <c r="F163" i="1" s="1"/>
  <c r="D161" i="1"/>
  <c r="D160" i="1"/>
  <c r="F160" i="1" s="1"/>
  <c r="F157" i="1"/>
  <c r="D154" i="1"/>
  <c r="F154" i="1" s="1"/>
  <c r="F151" i="1"/>
  <c r="D147" i="1"/>
  <c r="F147" i="1" s="1"/>
  <c r="D120" i="1"/>
  <c r="D172" i="1" l="1"/>
  <c r="F172" i="1" s="1"/>
  <c r="C34" i="3"/>
  <c r="D34" i="3" s="1"/>
  <c r="D174" i="1"/>
  <c r="D168" i="1"/>
  <c r="F168" i="1" s="1"/>
  <c r="D158" i="1"/>
  <c r="F158" i="1" s="1"/>
  <c r="D150" i="1"/>
  <c r="F150" i="1" s="1"/>
  <c r="D167" i="1"/>
  <c r="F167" i="1" s="1"/>
  <c r="F174" i="1"/>
  <c r="D153" i="1"/>
  <c r="F153" i="1" s="1"/>
  <c r="D166" i="1"/>
  <c r="F166" i="1" s="1"/>
  <c r="C25" i="3"/>
  <c r="D25" i="3" s="1"/>
  <c r="D98" i="1"/>
  <c r="F98" i="1" s="1"/>
  <c r="D148" i="1"/>
  <c r="F148" i="1" s="1"/>
  <c r="D146" i="1"/>
  <c r="F146" i="1" s="1"/>
  <c r="D87" i="1"/>
  <c r="F87" i="1" s="1"/>
  <c r="E2" i="3"/>
  <c r="E4" i="3"/>
  <c r="F4" i="3" s="1"/>
  <c r="C5" i="3"/>
  <c r="D5" i="3" s="1"/>
  <c r="C6" i="3"/>
  <c r="D6" i="3" s="1"/>
  <c r="C7" i="3"/>
  <c r="D7" i="3" s="1"/>
  <c r="C8" i="3"/>
  <c r="D8" i="3" s="1"/>
  <c r="E9" i="3"/>
  <c r="F9" i="3" s="1"/>
  <c r="E11" i="3"/>
  <c r="F11" i="3" s="1"/>
  <c r="C15" i="3"/>
  <c r="D15" i="3" s="1"/>
  <c r="E16" i="3"/>
  <c r="F16" i="3" s="1"/>
  <c r="D155" i="1"/>
  <c r="F155" i="1" s="1"/>
  <c r="E17" i="3"/>
  <c r="F17" i="3" s="1"/>
  <c r="D156" i="1"/>
  <c r="F156" i="1" s="1"/>
  <c r="E26" i="3"/>
  <c r="F26" i="3" s="1"/>
  <c r="C29" i="3"/>
  <c r="D29" i="3" s="1"/>
  <c r="E30" i="3"/>
  <c r="F30" i="3" s="1"/>
  <c r="E31" i="3"/>
  <c r="F31" i="3" s="1"/>
  <c r="C32" i="3"/>
  <c r="D32" i="3" s="1"/>
  <c r="E32" i="3"/>
  <c r="F32" i="3" s="1"/>
  <c r="D21" i="1"/>
  <c r="F21" i="1" s="1"/>
  <c r="D165" i="1"/>
  <c r="F165" i="1" s="1"/>
  <c r="D169" i="1"/>
  <c r="F169" i="1" s="1"/>
  <c r="D171" i="1"/>
  <c r="F171" i="1" s="1"/>
  <c r="E3" i="3"/>
  <c r="F3" i="3" s="1"/>
  <c r="D76" i="1"/>
  <c r="F76" i="1" s="1"/>
  <c r="E5" i="3"/>
  <c r="F5" i="3" s="1"/>
  <c r="E6" i="3"/>
  <c r="F6" i="3" s="1"/>
  <c r="E7" i="3"/>
  <c r="F7" i="3" s="1"/>
  <c r="D142" i="1"/>
  <c r="F142" i="1" s="1"/>
  <c r="E8" i="3"/>
  <c r="F8" i="3" s="1"/>
  <c r="C9" i="3"/>
  <c r="D9" i="3" s="1"/>
  <c r="E10" i="3"/>
  <c r="F10" i="3" s="1"/>
  <c r="C11" i="3"/>
  <c r="D11" i="3" s="1"/>
  <c r="E13" i="3"/>
  <c r="F13" i="3" s="1"/>
  <c r="E15" i="3"/>
  <c r="F15" i="3" s="1"/>
  <c r="D152" i="1"/>
  <c r="F152" i="1" s="1"/>
  <c r="C16" i="3"/>
  <c r="D16" i="3" s="1"/>
  <c r="C17" i="3"/>
  <c r="D17" i="3" s="1"/>
  <c r="E19" i="3"/>
  <c r="F19" i="3" s="1"/>
  <c r="C20" i="3"/>
  <c r="D20" i="3" s="1"/>
  <c r="C21" i="3"/>
  <c r="D21" i="3" s="1"/>
  <c r="E22" i="3"/>
  <c r="F22" i="3" s="1"/>
  <c r="E24" i="3"/>
  <c r="F24" i="3" s="1"/>
  <c r="C13" i="3"/>
  <c r="D13" i="3" s="1"/>
  <c r="E20" i="3"/>
  <c r="F20" i="3" s="1"/>
  <c r="E21" i="3"/>
  <c r="F21" i="3" s="1"/>
  <c r="E23" i="3"/>
  <c r="F23" i="3" s="1"/>
  <c r="C24" i="3"/>
  <c r="D24" i="3" s="1"/>
  <c r="E29" i="3"/>
  <c r="F29" i="3" s="1"/>
  <c r="C30" i="3"/>
  <c r="D30" i="3" s="1"/>
  <c r="C31" i="3"/>
  <c r="D31" i="3" s="1"/>
  <c r="C35" i="3"/>
  <c r="D35" i="3" s="1"/>
  <c r="E25" i="3"/>
  <c r="F25" i="3" s="1"/>
  <c r="C27" i="3"/>
  <c r="D27" i="3" s="1"/>
  <c r="C28" i="3"/>
  <c r="D28" i="3" s="1"/>
  <c r="C33" i="3"/>
  <c r="D33" i="3" s="1"/>
  <c r="E34" i="3"/>
  <c r="F34" i="3" s="1"/>
  <c r="E35" i="3"/>
  <c r="F35" i="3" s="1"/>
  <c r="C12" i="3" l="1"/>
  <c r="D12" i="3" s="1"/>
  <c r="D149" i="1"/>
  <c r="F149" i="1" s="1"/>
  <c r="F177" i="1" s="1"/>
  <c r="F74" i="2"/>
  <c r="E76" i="2" s="1"/>
  <c r="F76" i="2" s="1"/>
  <c r="C26" i="3"/>
  <c r="D26" i="3" s="1"/>
  <c r="E12" i="3"/>
  <c r="F12" i="3" s="1"/>
  <c r="C19" i="3"/>
  <c r="F2" i="3"/>
  <c r="F38" i="3" l="1"/>
  <c r="E38" i="3"/>
  <c r="D177" i="1"/>
  <c r="D19" i="3"/>
  <c r="D38" i="3" s="1"/>
  <c r="F39" i="3" s="1"/>
  <c r="C38" i="3"/>
  <c r="D39" i="3" s="1"/>
  <c r="H39" i="3" l="1"/>
</calcChain>
</file>

<file path=xl/sharedStrings.xml><?xml version="1.0" encoding="utf-8"?>
<sst xmlns="http://schemas.openxmlformats.org/spreadsheetml/2006/main" count="1613" uniqueCount="366">
  <si>
    <t>№</t>
  </si>
  <si>
    <t>Наименование работ</t>
  </si>
  <si>
    <t>Стоимость работ (план)</t>
  </si>
  <si>
    <t>Стоимсоть работ (Ресурсная смета)</t>
  </si>
  <si>
    <t>Демонтаж перегородок (ЛИТЕР Е)</t>
  </si>
  <si>
    <t>РЕБУС</t>
  </si>
  <si>
    <t>СПЕЦ-М</t>
  </si>
  <si>
    <t>Прокладка греющего кабеля СОК</t>
  </si>
  <si>
    <t>Додемонтаж</t>
  </si>
  <si>
    <t>Выямка грунта для полов</t>
  </si>
  <si>
    <t>Кладочные работы (закладка окон)3100 кирипича 6 м3 с оставлением отверстий под вентиляцию</t>
  </si>
  <si>
    <t>Монтаж окон с отливами (без подоконников и откосов)</t>
  </si>
  <si>
    <t>Монтаж входных дверей (без отделки)</t>
  </si>
  <si>
    <t>Устройство временного освещения и отопления</t>
  </si>
  <si>
    <t>Монтаж водоотведения</t>
  </si>
  <si>
    <t>Подвод горячего водоснабжения и системы отопления</t>
  </si>
  <si>
    <t>Черновой монтаж ГВС и ХВС</t>
  </si>
  <si>
    <t>Полы (пирог по грунту)</t>
  </si>
  <si>
    <t>Полы финальная стяжка</t>
  </si>
  <si>
    <t>Разметка помщений</t>
  </si>
  <si>
    <t>Черновые электромонтажные работы (+Слаботочка выполняется, но считается отдельно)</t>
  </si>
  <si>
    <t>14а</t>
  </si>
  <si>
    <t>Слаботочные работы</t>
  </si>
  <si>
    <t>Прокладка вентиляции</t>
  </si>
  <si>
    <t>Обшивка стен ГКЛ</t>
  </si>
  <si>
    <t>Монтаж электрощита и подключение временного освещения</t>
  </si>
  <si>
    <t>Монтаж перегородок ГКЛ</t>
  </si>
  <si>
    <t>Монтаж потолка ГКЛ</t>
  </si>
  <si>
    <t>Отделка потолка черновая</t>
  </si>
  <si>
    <t>Монтаж подоконников и откосов</t>
  </si>
  <si>
    <t>Отделка входных дверей</t>
  </si>
  <si>
    <t>Отделка стен черновая</t>
  </si>
  <si>
    <t>Монтаж системы отопления</t>
  </si>
  <si>
    <t>Укладка плитки на стены</t>
  </si>
  <si>
    <t>Укладка плитки на пол</t>
  </si>
  <si>
    <t>Монтаж реечного потолка ванна</t>
  </si>
  <si>
    <t xml:space="preserve">Чистовая отделка потолка </t>
  </si>
  <si>
    <t>Чистовая отделка стен</t>
  </si>
  <si>
    <t xml:space="preserve">Укладка ламината </t>
  </si>
  <si>
    <t>Монтаж межкомнатных дверей</t>
  </si>
  <si>
    <t>Установка плинтусов</t>
  </si>
  <si>
    <t>Чистовые электромонтажные работы</t>
  </si>
  <si>
    <t>Установка сантехники</t>
  </si>
  <si>
    <t>Итого:</t>
  </si>
  <si>
    <r>
      <rPr>
        <sz val="9"/>
        <color rgb="FF00000A"/>
        <rFont val="Times New Roman"/>
        <family val="1"/>
        <charset val="204"/>
      </rPr>
      <t xml:space="preserve">Исх. № 39/1  от </t>
    </r>
    <r>
      <rPr>
        <u/>
        <sz val="11"/>
        <color rgb="FF00000A"/>
        <rFont val="Times New Roman"/>
        <family val="1"/>
        <charset val="204"/>
      </rPr>
      <t>«13» декабря</t>
    </r>
    <r>
      <rPr>
        <sz val="11"/>
        <color rgb="FF00000A"/>
        <rFont val="Times New Roman"/>
        <family val="1"/>
        <charset val="204"/>
      </rPr>
      <t xml:space="preserve">   2022г.</t>
    </r>
  </si>
  <si>
    <t>ЛОКАЛЬНАЯ СМЕТА</t>
  </si>
  <si>
    <t>на выполнение  СМР в здании Литер «Е»</t>
  </si>
  <si>
    <t xml:space="preserve">      Адрес объекта: г. Санкт-Петербург, ш. Приморское, д. 696, ДОК «Буревестник», здание лит "Е".</t>
  </si>
  <si>
    <t>№ п/п</t>
  </si>
  <si>
    <t>Ед.   изм.</t>
  </si>
  <si>
    <t>Кол-во</t>
  </si>
  <si>
    <t xml:space="preserve">ст-ть за ед. работ </t>
  </si>
  <si>
    <t>ст-ть работ</t>
  </si>
  <si>
    <t>Примечание</t>
  </si>
  <si>
    <t>1</t>
  </si>
  <si>
    <t>ДЕМОНТАЖНЫЕ РАБОТЫ</t>
  </si>
  <si>
    <t>1.1</t>
  </si>
  <si>
    <t>Демонтаж перегородок (доска + дранка)</t>
  </si>
  <si>
    <t>м2</t>
  </si>
  <si>
    <t>1.2</t>
  </si>
  <si>
    <t>Демонтаж полового настила (доска)</t>
  </si>
  <si>
    <t>1.3</t>
  </si>
  <si>
    <t>Демонтаж лаг (брус)</t>
  </si>
  <si>
    <t>1.4</t>
  </si>
  <si>
    <t>Демонтаж кафельной плитки с расчисткой основания от клеевого состава</t>
  </si>
  <si>
    <t>1.5</t>
  </si>
  <si>
    <t>Демонтаж радиаторов отопления и металлических труб</t>
  </si>
  <si>
    <t>м.п.</t>
  </si>
  <si>
    <t>1.6</t>
  </si>
  <si>
    <t>Демонтаж кирпичной кладки</t>
  </si>
  <si>
    <t>1.7</t>
  </si>
  <si>
    <t>Снятие дверных коробок с полотнами (дерево + стекло)</t>
  </si>
  <si>
    <t>шт.</t>
  </si>
  <si>
    <t>1.8</t>
  </si>
  <si>
    <t>Демонтаж окон</t>
  </si>
  <si>
    <t>1.9</t>
  </si>
  <si>
    <t>Вынос строительного мусора (после демонтажа)</t>
  </si>
  <si>
    <t>тн</t>
  </si>
  <si>
    <t>2</t>
  </si>
  <si>
    <t>ДОДЕМОНТАЖ</t>
  </si>
  <si>
    <t>2.1</t>
  </si>
  <si>
    <t>Додемонтажные работы (сбивка штукатурки с окон, зачистка дверных проемов и т.д.)</t>
  </si>
  <si>
    <t>к-кс</t>
  </si>
  <si>
    <t>3</t>
  </si>
  <si>
    <t>ВЫЯМКА ГРУНТА ДЛЯ ПОЛОВ</t>
  </si>
  <si>
    <t>3.1</t>
  </si>
  <si>
    <t>Демонтаж стяжки (толщина не более 150мм)</t>
  </si>
  <si>
    <t>3.2</t>
  </si>
  <si>
    <t>Выямка грунта со строительным мусором (Н-300мм. S-197м2)</t>
  </si>
  <si>
    <t>м3</t>
  </si>
  <si>
    <t>3.3</t>
  </si>
  <si>
    <t>Демонтаж кирпичных опор деревянного пола</t>
  </si>
  <si>
    <t>4</t>
  </si>
  <si>
    <t>КЛАДОЧНЫЕ РАБОТЫ</t>
  </si>
  <si>
    <t>4.1</t>
  </si>
  <si>
    <t>Закладка дверных и оконных проемов</t>
  </si>
  <si>
    <t>шт</t>
  </si>
  <si>
    <t>4.2</t>
  </si>
  <si>
    <t>5</t>
  </si>
  <si>
    <t>ОКНА</t>
  </si>
  <si>
    <t>5.1</t>
  </si>
  <si>
    <t>Монтаж окон без отделки</t>
  </si>
  <si>
    <t>6</t>
  </si>
  <si>
    <t>ВХОДНЫЕ ДВЕРИ</t>
  </si>
  <si>
    <t>6.1</t>
  </si>
  <si>
    <t>7</t>
  </si>
  <si>
    <t>УСТРОЙСТВО ВРЕМЕННОГО ОСВЕЩЕНИЯ И ОТОПЛЕНИЯ</t>
  </si>
  <si>
    <t>7.1</t>
  </si>
  <si>
    <t>Работы по устройству временного освещения и отопления</t>
  </si>
  <si>
    <t>8</t>
  </si>
  <si>
    <t>МОНТАЖ ВОДООТВЕДЕНИЯ</t>
  </si>
  <si>
    <t>8.1</t>
  </si>
  <si>
    <t>Монтаж труб канализации</t>
  </si>
  <si>
    <t>точка</t>
  </si>
  <si>
    <t>9</t>
  </si>
  <si>
    <t>ПОДВОД ГОРЯЧЕГО ВОДОСНАВЖЕНИЯ И ОТОПЛЕНИЯ</t>
  </si>
  <si>
    <t>9.1</t>
  </si>
  <si>
    <t>Работы по подводу горячего водоснабжения и отопления</t>
  </si>
  <si>
    <t>10</t>
  </si>
  <si>
    <t>ЧЕРНОВОЙ МОНТАЖ ГВС И ХВС</t>
  </si>
  <si>
    <t>10.1</t>
  </si>
  <si>
    <t>Разводка труб ХВС, ГВС в земле</t>
  </si>
  <si>
    <t>10.2</t>
  </si>
  <si>
    <t>Монтаж греющего кабеля</t>
  </si>
  <si>
    <t>10.3</t>
  </si>
  <si>
    <t>Теплоизоляция труб</t>
  </si>
  <si>
    <t>11</t>
  </si>
  <si>
    <t>ПОЛЫ ОСНОВАНИЕ (черновые работы)</t>
  </si>
  <si>
    <t>11.1</t>
  </si>
  <si>
    <t>11.2</t>
  </si>
  <si>
    <t>Устройство теплоизоляционного слоя</t>
  </si>
  <si>
    <t>11.3</t>
  </si>
  <si>
    <t xml:space="preserve">Армирование с перевязкой сетки </t>
  </si>
  <si>
    <t>11.4</t>
  </si>
  <si>
    <t>Устройство цементно-песчанной стяжки 50 мм</t>
  </si>
  <si>
    <t>кг</t>
  </si>
  <si>
    <t>12</t>
  </si>
  <si>
    <t>ПОЛЫ ВЫРАВНИВАНИЕ</t>
  </si>
  <si>
    <t>12.1</t>
  </si>
  <si>
    <t>Подливка полов самовыравнивающимся составом</t>
  </si>
  <si>
    <t>12.2</t>
  </si>
  <si>
    <t>Устройство обмазочной гидроизоляции с заводом на стену с предварительной огрунтовкой (2 слоя)</t>
  </si>
  <si>
    <t>12.3</t>
  </si>
  <si>
    <t>Монтаж упрочняющей ленты (стык пол-стена)</t>
  </si>
  <si>
    <t>м.п</t>
  </si>
  <si>
    <t>12.4</t>
  </si>
  <si>
    <t xml:space="preserve">Грунтование поверхности пола </t>
  </si>
  <si>
    <t>13</t>
  </si>
  <si>
    <t>РАЗМЕТКА ПОМЕЩЕНИЙ</t>
  </si>
  <si>
    <t>13.1</t>
  </si>
  <si>
    <t>Разметка помещений</t>
  </si>
  <si>
    <t>14</t>
  </si>
  <si>
    <t>ЧЕРНОВЫЕ ЭЛЕКТРО-МОНТАЖНЫЕ РАБОТЫ</t>
  </si>
  <si>
    <t>14.1</t>
  </si>
  <si>
    <t>Прокладка силовых кабелей в гофре</t>
  </si>
  <si>
    <t>14.2</t>
  </si>
  <si>
    <t>Установка коробок (монтажные, разветвительные) с расключением кабелей</t>
  </si>
  <si>
    <t>14.3</t>
  </si>
  <si>
    <t>Монтаж электрощита</t>
  </si>
  <si>
    <t>14.4</t>
  </si>
  <si>
    <t>Монтаж автоматического выключателя 2-х полюсного</t>
  </si>
  <si>
    <t>14.5</t>
  </si>
  <si>
    <t>Монтаж УЗО</t>
  </si>
  <si>
    <t>14.6</t>
  </si>
  <si>
    <t>Монтаж автоматического выключателя однополюсного</t>
  </si>
  <si>
    <t>14.7</t>
  </si>
  <si>
    <t>Монтад пожрозетников</t>
  </si>
  <si>
    <t>СЛАБОТОЧНЫЕ РАБОТЫ</t>
  </si>
  <si>
    <t>15</t>
  </si>
  <si>
    <t>ПРОКЛАДКА ВЕНТИЛЯЦИИ</t>
  </si>
  <si>
    <t>15.1</t>
  </si>
  <si>
    <t>Монтаж прямоугольных воздуховодов</t>
  </si>
  <si>
    <t>16</t>
  </si>
  <si>
    <t>ОБШИВКА СТЕН ГКЛ</t>
  </si>
  <si>
    <t>16.1</t>
  </si>
  <si>
    <t>Однослойная облицовка из ГКЛ на металлическом каркасе, закрепленном на базовой стене с утеплителем</t>
  </si>
  <si>
    <t>17</t>
  </si>
  <si>
    <t>МОНТАЖ ПЕРЕГОРОДОК ГКЛ</t>
  </si>
  <si>
    <t>17.1</t>
  </si>
  <si>
    <t>Перегородка с однослойными обшивками из ГКЛ на одинарном металлическом каркасе с шумоизоляцией</t>
  </si>
  <si>
    <t>17.2</t>
  </si>
  <si>
    <t>Монтаж закладных элементов из листовых материалов</t>
  </si>
  <si>
    <t>18</t>
  </si>
  <si>
    <t>МОНТАЖ ПОТОЛКА ГКЛ</t>
  </si>
  <si>
    <t>18.1</t>
  </si>
  <si>
    <t>Монтаж одноуровневого потолка ГКЛ</t>
  </si>
  <si>
    <t>19</t>
  </si>
  <si>
    <t>ПОТОЛОК (Черновые работы)</t>
  </si>
  <si>
    <t>19.1</t>
  </si>
  <si>
    <t>Заделка стыков и саморезов на ГКЛ</t>
  </si>
  <si>
    <t>19.2</t>
  </si>
  <si>
    <t>Шпатлёвка потолка в 2 слоя с ошкуриванием (под окраску)</t>
  </si>
  <si>
    <t>20</t>
  </si>
  <si>
    <t>МОНТАЖ ПОДОКОННИКОВ И ОТКОСОВ</t>
  </si>
  <si>
    <t>20.1</t>
  </si>
  <si>
    <t>21</t>
  </si>
  <si>
    <t>ОТДЕЛКА ВХОДНЫХ ДВЕРЕЙ</t>
  </si>
  <si>
    <t>21.1</t>
  </si>
  <si>
    <t>22</t>
  </si>
  <si>
    <t>СТЕНЫ (Черновые работы)</t>
  </si>
  <si>
    <t>22.1</t>
  </si>
  <si>
    <t>Подготовка стен из ГКЛ к шпатлёвке (грунтование, проклейка стыков с укрытием, укрытие саморезов, шлифовка)</t>
  </si>
  <si>
    <t>22.2</t>
  </si>
  <si>
    <t>Шпатлевание стен ГКЛ (подготовка к оклейке обоями)</t>
  </si>
  <si>
    <t>22.3</t>
  </si>
  <si>
    <t>Шлифовка стен (под обои)</t>
  </si>
  <si>
    <t>23</t>
  </si>
  <si>
    <t>МОНТАЖ СИСТЕМЫ ОТОПЛЕНИЯ</t>
  </si>
  <si>
    <t>23.1</t>
  </si>
  <si>
    <t>Монтаж полипропиленовых труб системы отопления D25-32</t>
  </si>
  <si>
    <t>23.2</t>
  </si>
  <si>
    <t>Монтаж и подключение радиатора отопления</t>
  </si>
  <si>
    <t>24</t>
  </si>
  <si>
    <t>УКЛАДКА ПЛИТКИ НА СТЕНЫ</t>
  </si>
  <si>
    <t>24.1</t>
  </si>
  <si>
    <t>Облицовка стен керамогранитной плиткой (с предварительной огрунтовкой) и затиркой швов</t>
  </si>
  <si>
    <t>25</t>
  </si>
  <si>
    <t>УКЛАДКА ПЛИТКИ НА ПОЛ</t>
  </si>
  <si>
    <t>25.1</t>
  </si>
  <si>
    <t>Облицовка полов керамогранитной плиткой с затиркой швов и с учётом разуклонных уровней</t>
  </si>
  <si>
    <t>25.2</t>
  </si>
  <si>
    <t>Устройство плинтуса из керамогранита</t>
  </si>
  <si>
    <t>26</t>
  </si>
  <si>
    <t>МОНТАЖ РЕЕЧНОГО ПОТОЛКА</t>
  </si>
  <si>
    <t>26.1</t>
  </si>
  <si>
    <t>Монтаж реечного потолка</t>
  </si>
  <si>
    <t>27</t>
  </si>
  <si>
    <t>ПОТОЛОК (Чистовые работы)</t>
  </si>
  <si>
    <t>27.1</t>
  </si>
  <si>
    <t>Окраска потолка в два слоя</t>
  </si>
  <si>
    <t>27.2</t>
  </si>
  <si>
    <t>Монтаж плинтуса потолочного</t>
  </si>
  <si>
    <t>28</t>
  </si>
  <si>
    <t>СТЕНЫ (Чистовые работы)</t>
  </si>
  <si>
    <t>28.1</t>
  </si>
  <si>
    <t>Оклейка стен обоями (под окраску)</t>
  </si>
  <si>
    <t>28.2</t>
  </si>
  <si>
    <t>Окраска стен и перегородок в два слоя</t>
  </si>
  <si>
    <t>28.3</t>
  </si>
  <si>
    <t>Оклейка стен обоями без подбора рисунка (виниловые, флизелиновые)</t>
  </si>
  <si>
    <t>29</t>
  </si>
  <si>
    <t>УКЛАДКА ЛАМИНАТА</t>
  </si>
  <si>
    <t>29.1</t>
  </si>
  <si>
    <t>Настил ламината</t>
  </si>
  <si>
    <t>30</t>
  </si>
  <si>
    <t>МОНТАЖ МЕЖКОМНАТНЫХ ДВЕРЕЙ</t>
  </si>
  <si>
    <t>30.1</t>
  </si>
  <si>
    <t>Установка двери (с врезкой фурнитуры)</t>
  </si>
  <si>
    <t>31</t>
  </si>
  <si>
    <t>МОНТАЖ ПЛАСТИКОВОГО ПЛИНТУСА</t>
  </si>
  <si>
    <t>31.1</t>
  </si>
  <si>
    <t>Монтаж плинтуса пластик</t>
  </si>
  <si>
    <t>32</t>
  </si>
  <si>
    <t>ЧИСТОВЫЕ ЭЛЕКТРО-МОНТАЖНЫЕ РАБОТЫ</t>
  </si>
  <si>
    <t>32.1</t>
  </si>
  <si>
    <t>Установка розеток и выключателей</t>
  </si>
  <si>
    <t>32.2</t>
  </si>
  <si>
    <t>Установка светильников встраиваемых/накладных</t>
  </si>
  <si>
    <t>33</t>
  </si>
  <si>
    <t>САНТЕХНИЧЕСКИЕ РАБОТЫ</t>
  </si>
  <si>
    <t>33.1</t>
  </si>
  <si>
    <t>Прокладка полипропиленовых труб водоснабжения D20-25мм</t>
  </si>
  <si>
    <t>33.2</t>
  </si>
  <si>
    <t>Монтаж простого смесителя на гибкой подводке</t>
  </si>
  <si>
    <t>33.3</t>
  </si>
  <si>
    <t>Установка раковины</t>
  </si>
  <si>
    <t>33.4</t>
  </si>
  <si>
    <t>Установка напольнго унитаза</t>
  </si>
  <si>
    <t>33.5</t>
  </si>
  <si>
    <t>Установка душевой кабинки</t>
  </si>
  <si>
    <t>33.6</t>
  </si>
  <si>
    <t>Установка смесителя</t>
  </si>
  <si>
    <t>ИТОГО:</t>
  </si>
  <si>
    <t>Доставка материала, транспортные расходы</t>
  </si>
  <si>
    <t>%</t>
  </si>
  <si>
    <t>Накладные расходы</t>
  </si>
  <si>
    <t>Стоимость материалов (план)</t>
  </si>
  <si>
    <t>Стоимость материалов (факт)</t>
  </si>
  <si>
    <t>Стоимость работ (факт)</t>
  </si>
  <si>
    <t>Демонтажные работы</t>
  </si>
  <si>
    <t>Учтено выше.  Это для порядка работ</t>
  </si>
  <si>
    <t>учтены выше</t>
  </si>
  <si>
    <t>План:</t>
  </si>
  <si>
    <t>Факт:</t>
  </si>
  <si>
    <t>Разница:</t>
  </si>
  <si>
    <t>ИП Назаров</t>
  </si>
  <si>
    <t>8.2</t>
  </si>
  <si>
    <t>Пробивка отверстий в бетоне (более 200мм)</t>
  </si>
  <si>
    <t>Статус</t>
  </si>
  <si>
    <t>4.3</t>
  </si>
  <si>
    <t>Устройство тепляка</t>
  </si>
  <si>
    <t>Монтаж металлического уголка (над окнами и дверями)+сварочные работы</t>
  </si>
  <si>
    <t>Продажа материалов (метеостанция)</t>
  </si>
  <si>
    <t>Империя снабжения</t>
  </si>
  <si>
    <t>Невский сервис</t>
  </si>
  <si>
    <t>Ребус</t>
  </si>
  <si>
    <t>Покупка входных дверей</t>
  </si>
  <si>
    <t>Славные двери</t>
  </si>
  <si>
    <t>ЦСД</t>
  </si>
  <si>
    <t>ООО "Сибеон"</t>
  </si>
  <si>
    <t>Демонтаж полов (ЛИТЕР Е)</t>
  </si>
  <si>
    <t>ИП Чернат</t>
  </si>
  <si>
    <t>Отправлен</t>
  </si>
  <si>
    <t>На подписи</t>
  </si>
  <si>
    <t>Подписан</t>
  </si>
  <si>
    <t>Дата</t>
  </si>
  <si>
    <t>Сметная стоимость</t>
  </si>
  <si>
    <t>Редакция</t>
  </si>
  <si>
    <t>Ожидание</t>
  </si>
  <si>
    <t>Смета</t>
  </si>
  <si>
    <t>Пусто</t>
  </si>
  <si>
    <t>Подготовлен</t>
  </si>
  <si>
    <t>КП 1</t>
  </si>
  <si>
    <t>КП  2</t>
  </si>
  <si>
    <t>КП 3</t>
  </si>
  <si>
    <t>Компания</t>
  </si>
  <si>
    <t>Стоимость</t>
  </si>
  <si>
    <t>"-"</t>
  </si>
  <si>
    <t>Работы по факту</t>
  </si>
  <si>
    <t>Не выполнены</t>
  </si>
  <si>
    <t>Выполнены</t>
  </si>
  <si>
    <t>Кладочные работы (закладка окон)3100 кирипича 6 м3</t>
  </si>
  <si>
    <t>Нужно третье КП</t>
  </si>
  <si>
    <t>Покупка окон ПВХ</t>
  </si>
  <si>
    <t>Прокладка греющего кабеля (Администрация, 1 корпус)</t>
  </si>
  <si>
    <t>Окна ВЕКА</t>
  </si>
  <si>
    <t>Лабрадор</t>
  </si>
  <si>
    <t>Ответ получен</t>
  </si>
  <si>
    <t>Оконная Столица</t>
  </si>
  <si>
    <t xml:space="preserve">Монтаж окон </t>
  </si>
  <si>
    <t>Оконный центр Окна ВЕКА</t>
  </si>
  <si>
    <t>Выполнено</t>
  </si>
  <si>
    <t>Глобал Инвест</t>
  </si>
  <si>
    <t>Отправлены</t>
  </si>
  <si>
    <t>Готовится КС 1</t>
  </si>
  <si>
    <t>Сибеон</t>
  </si>
  <si>
    <t>Можтаж металлических гильз</t>
  </si>
  <si>
    <t>Землянные работы</t>
  </si>
  <si>
    <t>10.4</t>
  </si>
  <si>
    <t>10.5</t>
  </si>
  <si>
    <t>10.6</t>
  </si>
  <si>
    <t>Организация ниш в фундаменте под трубы</t>
  </si>
  <si>
    <t>Устройство подстилающего слоя</t>
  </si>
  <si>
    <t>8.3</t>
  </si>
  <si>
    <t>8.4</t>
  </si>
  <si>
    <t>Замазка и запенивание гильз</t>
  </si>
  <si>
    <t>Устройство слоя из щебня</t>
  </si>
  <si>
    <t>Гидроизоляция</t>
  </si>
  <si>
    <t>11.5</t>
  </si>
  <si>
    <t>11.6</t>
  </si>
  <si>
    <t>Ресурсная стоимость</t>
  </si>
  <si>
    <t xml:space="preserve">Количество смен </t>
  </si>
  <si>
    <t>Количество сотрудников</t>
  </si>
  <si>
    <t>Количество смен с учетом количества сотрудников</t>
  </si>
  <si>
    <t>Организация отверстий под вентиляцию</t>
  </si>
  <si>
    <t>Желаемое количество смен</t>
  </si>
  <si>
    <t>Фактическое количество смен</t>
  </si>
  <si>
    <t>1\</t>
  </si>
  <si>
    <t>Демонтаж окон и дверей (ЛИТЕР Е) + монтаж уголка</t>
  </si>
  <si>
    <t>Монтаж пожрозетников</t>
  </si>
  <si>
    <t>Спец-М</t>
  </si>
  <si>
    <t>Чернат</t>
  </si>
  <si>
    <t>МОНТАЖ ВОДОСНАБЖЕНИЯ И ВОДООТВЕДЕНИЯ</t>
  </si>
  <si>
    <t>Монтаж водоснабжения и водоотведения</t>
  </si>
  <si>
    <t>Наши цены</t>
  </si>
  <si>
    <t>Компания 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</si>
</sst>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р.-419]#,##0.00"/>
    <numFmt numFmtId="165" formatCode="#,##0.00\ &quot;₽&quot;"/>
    <numFmt numFmtId="166" formatCode="0.0"/>
  </numFmts>
  <fonts count="24">
    <font>
      <sz val="11"/>
      <color rgb="FF000000"/>
      <name val="Calibri"/>
      <scheme val="minor"/>
    </font>
    <font>
      <b/>
      <sz val="11"/>
      <color theme="1"/>
      <name val="Times New Roman"/>
      <family val="1"/>
      <charset val="204"/>
    </font>
    <font>
      <sz val="11"/>
      <color theme="1"/>
      <name val="Times New Roman"/>
      <family val="1"/>
      <charset val="204"/>
    </font>
    <font>
      <sz val="9"/>
      <color rgb="FF00000A"/>
      <name val="Times New Roman"/>
      <family val="1"/>
      <charset val="204"/>
    </font>
    <font>
      <sz val="10"/>
      <color theme="1"/>
      <name val="Times New Roman"/>
      <family val="1"/>
      <charset val="204"/>
    </font>
    <font>
      <b/>
      <sz val="13"/>
      <color theme="1"/>
      <name val="Times New Roman"/>
      <family val="1"/>
      <charset val="204"/>
    </font>
    <font>
      <b/>
      <sz val="12"/>
      <color theme="1"/>
      <name val="Times New Roman"/>
      <family val="1"/>
      <charset val="204"/>
    </font>
    <font>
      <b/>
      <i/>
      <sz val="12"/>
      <color theme="1"/>
      <name val="Times New Roman"/>
      <family val="1"/>
      <charset val="204"/>
    </font>
    <font>
      <b/>
      <sz val="11"/>
      <color rgb="FF000000"/>
      <name val="Calibri"/>
      <family val="2"/>
      <charset val="204"/>
    </font>
    <font>
      <sz val="12"/>
      <color theme="1"/>
      <name val="Times New Roman"/>
      <family val="1"/>
      <charset val="204"/>
    </font>
    <font>
      <b/>
      <sz val="12"/>
      <color rgb="FF28343A"/>
      <name val="Montserrat"/>
    </font>
    <font>
      <sz val="12"/>
      <color rgb="FF28343A"/>
      <name val="Montserrat"/>
    </font>
    <font>
      <b/>
      <sz val="11"/>
      <color theme="1"/>
      <name val="Calibri"/>
      <family val="2"/>
      <charset val="204"/>
    </font>
    <font>
      <u/>
      <sz val="11"/>
      <color rgb="FF00000A"/>
      <name val="Times New Roman"/>
      <family val="1"/>
      <charset val="204"/>
    </font>
    <font>
      <sz val="11"/>
      <color rgb="FF00000A"/>
      <name val="Times New Roman"/>
      <family val="1"/>
      <charset val="204"/>
    </font>
    <font>
      <sz val="11"/>
      <color rgb="FF000000"/>
      <name val="Calibri"/>
      <family val="2"/>
      <charset val="204"/>
      <scheme val="minor"/>
    </font>
    <font>
      <b/>
      <sz val="11"/>
      <color theme="1"/>
      <name val="Times New Roman"/>
      <family val="1"/>
      <charset val="204"/>
    </font>
    <font>
      <b/>
      <sz val="12"/>
      <color theme="1"/>
      <name val="Times New Roman"/>
      <family val="1"/>
      <charset val="204"/>
    </font>
    <font>
      <sz val="12"/>
      <color theme="1"/>
      <name val="Times New Roman"/>
      <family val="1"/>
      <charset val="204"/>
    </font>
    <font>
      <sz val="11"/>
      <color theme="1"/>
      <name val="Times New Roman"/>
      <family val="1"/>
      <charset val="204"/>
    </font>
    <font>
      <sz val="11"/>
      <name val="Calibri"/>
      <family val="2"/>
      <charset val="204"/>
      <scheme val="minor"/>
    </font>
    <font>
      <sz val="11"/>
      <color rgb="FF000000"/>
      <name val="Times New Roman"/>
      <family val="1"/>
      <charset val="204"/>
    </font>
    <font>
      <sz val="11"/>
      <name val="Times New Roman"/>
      <family val="1"/>
      <charset val="204"/>
    </font>
    <font>
      <b/>
      <sz val="11"/>
      <color rgb="FF000000"/>
      <name val="Times New Roman"/>
      <family val="1"/>
      <charset val="204"/>
    </font>
  </fonts>
  <fills count="15">
    <fill>
      <patternFill patternType="none"/>
    </fill>
    <fill>
      <patternFill patternType="gray125"/>
    </fill>
    <fill>
      <patternFill patternType="solid">
        <fgColor rgb="FF9999FF"/>
        <bgColor rgb="FF9999FF"/>
      </patternFill>
    </fill>
    <fill>
      <patternFill patternType="solid">
        <fgColor rgb="FFB6D7A8"/>
        <bgColor rgb="FFB6D7A8"/>
      </patternFill>
    </fill>
    <fill>
      <patternFill patternType="solid">
        <fgColor rgb="FFEA9999"/>
        <bgColor rgb="FFEA9999"/>
      </patternFill>
    </fill>
    <fill>
      <patternFill patternType="solid">
        <fgColor theme="9"/>
        <bgColor theme="9"/>
      </patternFill>
    </fill>
    <fill>
      <patternFill patternType="solid">
        <fgColor rgb="FF8EAADB"/>
        <bgColor rgb="FF8EAADB"/>
      </patternFill>
    </fill>
    <fill>
      <patternFill patternType="solid">
        <fgColor rgb="FFFFFFFF"/>
        <bgColor rgb="FFFFFFFF"/>
      </patternFill>
    </fill>
    <fill>
      <patternFill patternType="solid">
        <fgColor rgb="FFFF5A33"/>
        <bgColor indexed="64"/>
      </patternFill>
    </fill>
    <fill>
      <patternFill patternType="solid">
        <fgColor theme="9" tint="0.39997558519241921"/>
        <bgColor indexed="64"/>
      </patternFill>
    </fill>
    <fill>
      <patternFill patternType="solid">
        <fgColor theme="0" tint="-0.14999847407452621"/>
        <bgColor rgb="FF8EAADB"/>
      </patternFill>
    </fill>
    <fill>
      <patternFill patternType="solid">
        <fgColor theme="0" tint="-0.14999847407452621"/>
        <bgColor indexed="64"/>
      </patternFill>
    </fill>
    <fill>
      <patternFill patternType="solid">
        <fgColor rgb="FF68B881"/>
        <bgColor indexed="64"/>
      </patternFill>
    </fill>
    <fill>
      <patternFill patternType="solid">
        <fgColor rgb="FF68B881"/>
        <bgColor rgb="FFEA9999"/>
      </patternFill>
    </fill>
    <fill>
      <patternFill patternType="solid">
        <fgColor rgb="FFFF5050"/>
        <bgColor indexed="64"/>
      </patternFill>
    </fill>
  </fills>
  <borders count="69">
    <border>
      <left/>
      <right/>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medium">
        <color indexed="64"/>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bottom style="medium">
        <color indexed="64"/>
      </bottom>
      <diagonal/>
    </border>
    <border>
      <left/>
      <right style="thin">
        <color rgb="FF000000"/>
      </right>
      <top/>
      <bottom/>
      <diagonal/>
    </border>
    <border>
      <left style="medium">
        <color indexed="64"/>
      </left>
      <right style="thin">
        <color rgb="FF000000"/>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medium">
        <color indexed="64"/>
      </left>
      <right style="thin">
        <color indexed="64"/>
      </right>
      <top style="thin">
        <color indexed="64"/>
      </top>
      <bottom/>
      <diagonal/>
    </border>
    <border>
      <left/>
      <right style="medium">
        <color indexed="64"/>
      </right>
      <top style="medium">
        <color indexed="64"/>
      </top>
      <bottom style="thin">
        <color rgb="FF000000"/>
      </bottom>
      <diagonal/>
    </border>
    <border>
      <left/>
      <right style="medium">
        <color indexed="64"/>
      </right>
      <top style="medium">
        <color indexed="64"/>
      </top>
      <bottom/>
      <diagonal/>
    </border>
    <border>
      <left style="medium">
        <color rgb="FF000000"/>
      </left>
      <right style="medium">
        <color indexed="64"/>
      </right>
      <top/>
      <bottom/>
      <diagonal/>
    </border>
    <border>
      <left style="medium">
        <color rgb="FF000000"/>
      </left>
      <right style="medium">
        <color indexed="64"/>
      </right>
      <top/>
      <bottom style="medium">
        <color indexed="64"/>
      </bottom>
      <diagonal/>
    </border>
    <border>
      <left style="medium">
        <color indexed="64"/>
      </left>
      <right style="medium">
        <color rgb="FF000000"/>
      </right>
      <top/>
      <bottom/>
      <diagonal/>
    </border>
    <border>
      <left style="medium">
        <color indexed="64"/>
      </left>
      <right style="medium">
        <color rgb="FF000000"/>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rgb="FF000000"/>
      </right>
      <top style="medium">
        <color rgb="FF000000"/>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medium">
        <color indexed="64"/>
      </right>
      <top style="thin">
        <color rgb="FF000000"/>
      </top>
      <bottom/>
      <diagonal/>
    </border>
    <border>
      <left style="medium">
        <color indexed="64"/>
      </left>
      <right style="thin">
        <color rgb="FF000000"/>
      </right>
      <top style="medium">
        <color indexed="64"/>
      </top>
      <bottom/>
      <diagonal/>
    </border>
    <border>
      <left style="thin">
        <color rgb="FF000000"/>
      </left>
      <right/>
      <top style="medium">
        <color indexed="64"/>
      </top>
      <bottom/>
      <diagonal/>
    </border>
    <border>
      <left style="thin">
        <color rgb="FF000000"/>
      </left>
      <right/>
      <top/>
      <bottom style="medium">
        <color indexed="64"/>
      </bottom>
      <diagonal/>
    </border>
    <border>
      <left style="thin">
        <color rgb="FF000000"/>
      </left>
      <right style="thin">
        <color rgb="FF000000"/>
      </right>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252">
    <xf numFmtId="0" fontId="0" fillId="0" borderId="0" xfId="0" applyFont="1" applyAlignment="1"/>
    <xf numFmtId="0" fontId="2" fillId="0" borderId="0" xfId="0" applyFont="1" applyAlignment="1">
      <alignment horizontal="center"/>
    </xf>
    <xf numFmtId="0" fontId="2" fillId="0" borderId="0" xfId="0" applyFont="1"/>
    <xf numFmtId="0" fontId="2" fillId="0" borderId="6" xfId="0" applyFont="1" applyBorder="1" applyAlignment="1">
      <alignment horizontal="center" vertical="center"/>
    </xf>
    <xf numFmtId="0" fontId="2" fillId="0" borderId="6" xfId="0" applyFont="1" applyBorder="1" applyAlignment="1">
      <alignment wrapText="1"/>
    </xf>
    <xf numFmtId="165" fontId="2" fillId="0" borderId="6" xfId="0" applyNumberFormat="1" applyFont="1" applyBorder="1"/>
    <xf numFmtId="0" fontId="2" fillId="0" borderId="6" xfId="0" applyFont="1" applyBorder="1"/>
    <xf numFmtId="0" fontId="2" fillId="0" borderId="0" xfId="0" applyFont="1" applyAlignment="1"/>
    <xf numFmtId="0" fontId="2" fillId="5" borderId="6" xfId="0" applyFont="1" applyFill="1" applyBorder="1"/>
    <xf numFmtId="164" fontId="2" fillId="0" borderId="0" xfId="0" applyNumberFormat="1" applyFont="1"/>
    <xf numFmtId="0" fontId="4" fillId="0" borderId="0" xfId="0" applyFont="1" applyAlignment="1">
      <alignment horizontal="center"/>
    </xf>
    <xf numFmtId="0" fontId="1" fillId="0" borderId="6" xfId="0" applyFont="1" applyBorder="1" applyAlignment="1">
      <alignment horizontal="center" vertical="center" wrapText="1"/>
    </xf>
    <xf numFmtId="49" fontId="1" fillId="6" borderId="9" xfId="0" applyNumberFormat="1" applyFont="1" applyFill="1" applyBorder="1" applyAlignment="1">
      <alignment horizontal="center" vertical="center" wrapText="1"/>
    </xf>
    <xf numFmtId="0" fontId="7" fillId="6" borderId="9" xfId="0" applyFont="1" applyFill="1" applyBorder="1" applyAlignment="1">
      <alignment horizontal="center" vertical="center" wrapText="1"/>
    </xf>
    <xf numFmtId="0" fontId="6" fillId="6" borderId="9" xfId="0" applyFont="1" applyFill="1" applyBorder="1" applyAlignment="1">
      <alignment horizontal="center" vertical="center" wrapText="1"/>
    </xf>
    <xf numFmtId="4" fontId="1" fillId="6" borderId="9" xfId="0" applyNumberFormat="1" applyFont="1" applyFill="1" applyBorder="1" applyAlignment="1">
      <alignment horizontal="center" vertical="center" wrapText="1"/>
    </xf>
    <xf numFmtId="0" fontId="8" fillId="6" borderId="10" xfId="0" applyFont="1" applyFill="1" applyBorder="1"/>
    <xf numFmtId="49" fontId="1" fillId="0" borderId="8" xfId="0" applyNumberFormat="1" applyFont="1" applyBorder="1" applyAlignment="1">
      <alignment horizontal="center" vertical="center" wrapText="1"/>
    </xf>
    <xf numFmtId="0" fontId="6" fillId="0" borderId="8" xfId="0" applyFont="1" applyBorder="1" applyAlignment="1">
      <alignment horizontal="left" vertical="center" wrapText="1"/>
    </xf>
    <xf numFmtId="0" fontId="9" fillId="0" borderId="8" xfId="0" applyFont="1" applyBorder="1" applyAlignment="1">
      <alignment horizontal="center" vertical="center" wrapText="1"/>
    </xf>
    <xf numFmtId="4" fontId="2" fillId="0" borderId="8" xfId="0" applyNumberFormat="1" applyFont="1" applyBorder="1" applyAlignment="1">
      <alignment horizontal="center" vertical="center" wrapText="1"/>
    </xf>
    <xf numFmtId="4" fontId="2" fillId="0" borderId="8" xfId="0" applyNumberFormat="1" applyFont="1" applyBorder="1" applyAlignment="1">
      <alignment horizontal="center" vertical="center" wrapText="1"/>
    </xf>
    <xf numFmtId="0" fontId="9" fillId="0" borderId="1" xfId="0" applyFont="1" applyBorder="1" applyAlignment="1">
      <alignment horizontal="center" vertical="center" wrapText="1"/>
    </xf>
    <xf numFmtId="49" fontId="2" fillId="0" borderId="8" xfId="0" applyNumberFormat="1" applyFont="1" applyBorder="1" applyAlignment="1">
      <alignment horizontal="center" vertical="center" wrapText="1"/>
    </xf>
    <xf numFmtId="0" fontId="7" fillId="6" borderId="9" xfId="0" applyFont="1" applyFill="1" applyBorder="1" applyAlignment="1">
      <alignment horizontal="center" vertical="top"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6" fillId="6" borderId="10" xfId="0" applyFont="1" applyFill="1" applyBorder="1" applyAlignment="1">
      <alignment horizontal="center" vertical="center" wrapText="1"/>
    </xf>
    <xf numFmtId="165" fontId="2" fillId="0" borderId="8" xfId="0" applyNumberFormat="1" applyFont="1" applyBorder="1" applyAlignment="1">
      <alignment horizontal="center" vertical="center" wrapText="1"/>
    </xf>
    <xf numFmtId="165" fontId="1" fillId="6" borderId="9" xfId="0" applyNumberFormat="1" applyFont="1" applyFill="1" applyBorder="1" applyAlignment="1">
      <alignment horizontal="center" vertical="center" wrapText="1"/>
    </xf>
    <xf numFmtId="0" fontId="1" fillId="6" borderId="10" xfId="0" applyFont="1" applyFill="1" applyBorder="1"/>
    <xf numFmtId="0" fontId="10" fillId="6" borderId="10" xfId="0" applyFont="1" applyFill="1" applyBorder="1"/>
    <xf numFmtId="0" fontId="11" fillId="7" borderId="10" xfId="0" applyFont="1" applyFill="1" applyBorder="1"/>
    <xf numFmtId="49" fontId="1" fillId="6" borderId="6" xfId="0" applyNumberFormat="1" applyFont="1" applyFill="1" applyBorder="1" applyAlignment="1">
      <alignment horizontal="center" wrapText="1"/>
    </xf>
    <xf numFmtId="0" fontId="7" fillId="6" borderId="15" xfId="0" applyFont="1" applyFill="1" applyBorder="1" applyAlignment="1">
      <alignment horizontal="center" wrapText="1"/>
    </xf>
    <xf numFmtId="0" fontId="12" fillId="6" borderId="15" xfId="0" applyFont="1" applyFill="1" applyBorder="1"/>
    <xf numFmtId="4" fontId="12" fillId="6" borderId="15" xfId="0" applyNumberFormat="1" applyFont="1" applyFill="1" applyBorder="1"/>
    <xf numFmtId="165" fontId="12" fillId="6" borderId="15" xfId="0" applyNumberFormat="1" applyFont="1" applyFill="1" applyBorder="1"/>
    <xf numFmtId="0" fontId="12" fillId="6" borderId="10" xfId="0" applyFont="1" applyFill="1" applyBorder="1"/>
    <xf numFmtId="49" fontId="1" fillId="6" borderId="9" xfId="0" applyNumberFormat="1" applyFont="1" applyFill="1" applyBorder="1" applyAlignment="1">
      <alignment horizontal="center" wrapText="1"/>
    </xf>
    <xf numFmtId="0" fontId="7" fillId="6" borderId="16" xfId="0" applyFont="1" applyFill="1" applyBorder="1" applyAlignment="1">
      <alignment horizontal="center" wrapText="1"/>
    </xf>
    <xf numFmtId="0" fontId="12" fillId="6" borderId="16" xfId="0" applyFont="1" applyFill="1" applyBorder="1"/>
    <xf numFmtId="4" fontId="12" fillId="6" borderId="16" xfId="0" applyNumberFormat="1" applyFont="1" applyFill="1" applyBorder="1"/>
    <xf numFmtId="165" fontId="12" fillId="6" borderId="16" xfId="0" applyNumberFormat="1" applyFont="1" applyFill="1" applyBorder="1"/>
    <xf numFmtId="0" fontId="6" fillId="0" borderId="8" xfId="0" applyFont="1" applyBorder="1" applyAlignment="1">
      <alignment horizontal="right" vertical="center" wrapText="1"/>
    </xf>
    <xf numFmtId="165" fontId="1" fillId="2" borderId="9" xfId="0" applyNumberFormat="1"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164" fontId="1" fillId="2" borderId="6" xfId="0" applyNumberFormat="1" applyFont="1" applyFill="1" applyBorder="1" applyAlignment="1">
      <alignment horizontal="center" vertical="center" wrapText="1"/>
    </xf>
    <xf numFmtId="165" fontId="2" fillId="0" borderId="6" xfId="0" applyNumberFormat="1" applyFont="1" applyBorder="1" applyAlignment="1">
      <alignment horizontal="right"/>
    </xf>
    <xf numFmtId="165" fontId="2" fillId="0" borderId="17" xfId="0" applyNumberFormat="1" applyFont="1" applyBorder="1" applyAlignment="1">
      <alignment horizontal="center" vertical="center"/>
    </xf>
    <xf numFmtId="165" fontId="2" fillId="0" borderId="18" xfId="0" applyNumberFormat="1" applyFont="1" applyBorder="1" applyAlignment="1">
      <alignment horizontal="center" vertical="center"/>
    </xf>
    <xf numFmtId="165" fontId="2" fillId="5" borderId="17" xfId="0" applyNumberFormat="1" applyFont="1" applyFill="1" applyBorder="1" applyAlignment="1">
      <alignment horizontal="right"/>
    </xf>
    <xf numFmtId="165" fontId="2" fillId="5" borderId="18" xfId="0" applyNumberFormat="1" applyFont="1" applyFill="1" applyBorder="1" applyAlignment="1">
      <alignment horizontal="right"/>
    </xf>
    <xf numFmtId="165" fontId="2" fillId="5" borderId="19" xfId="0" applyNumberFormat="1" applyFont="1" applyFill="1" applyBorder="1" applyAlignment="1">
      <alignment horizontal="right"/>
    </xf>
    <xf numFmtId="165" fontId="2" fillId="0" borderId="0" xfId="0" applyNumberFormat="1" applyFont="1"/>
    <xf numFmtId="0" fontId="0" fillId="0" borderId="0" xfId="0" applyFont="1" applyAlignment="1"/>
    <xf numFmtId="0" fontId="9" fillId="0" borderId="11" xfId="0" applyFont="1" applyBorder="1" applyAlignment="1">
      <alignment horizontal="center" vertical="center" wrapText="1"/>
    </xf>
    <xf numFmtId="4" fontId="1" fillId="6" borderId="16" xfId="0" applyNumberFormat="1" applyFont="1" applyFill="1" applyBorder="1" applyAlignment="1">
      <alignment horizontal="center" vertical="center" wrapText="1"/>
    </xf>
    <xf numFmtId="0" fontId="6" fillId="6" borderId="20" xfId="0" applyFont="1" applyFill="1" applyBorder="1" applyAlignment="1">
      <alignment horizontal="center" vertical="center" wrapText="1"/>
    </xf>
    <xf numFmtId="0" fontId="7" fillId="6" borderId="21" xfId="0" applyFont="1" applyFill="1" applyBorder="1" applyAlignment="1">
      <alignment horizontal="center" vertical="center" wrapText="1"/>
    </xf>
    <xf numFmtId="4" fontId="2" fillId="0" borderId="9" xfId="0" applyNumberFormat="1" applyFont="1" applyBorder="1" applyAlignment="1">
      <alignment horizontal="center" vertical="center" wrapText="1"/>
    </xf>
    <xf numFmtId="0" fontId="0" fillId="0" borderId="0" xfId="0" applyFont="1" applyAlignment="1"/>
    <xf numFmtId="0" fontId="0" fillId="0" borderId="0" xfId="0" applyFont="1" applyAlignment="1"/>
    <xf numFmtId="164" fontId="16" fillId="2" borderId="1" xfId="0" applyNumberFormat="1" applyFont="1" applyFill="1" applyBorder="1" applyAlignment="1">
      <alignment horizontal="center" vertical="center" wrapText="1"/>
    </xf>
    <xf numFmtId="0" fontId="20" fillId="0" borderId="0" xfId="0" applyFont="1" applyFill="1" applyAlignment="1"/>
    <xf numFmtId="0" fontId="19" fillId="0" borderId="30" xfId="0" applyFont="1" applyBorder="1" applyAlignment="1">
      <alignment horizontal="center" vertical="center"/>
    </xf>
    <xf numFmtId="0" fontId="15" fillId="0" borderId="0" xfId="0" applyFont="1" applyAlignment="1"/>
    <xf numFmtId="0" fontId="16" fillId="2" borderId="1" xfId="0" applyFont="1" applyFill="1" applyBorder="1" applyAlignment="1">
      <alignment horizontal="center" vertical="center"/>
    </xf>
    <xf numFmtId="0" fontId="19" fillId="0" borderId="29" xfId="0" applyFont="1" applyBorder="1" applyAlignment="1">
      <alignment horizontal="center" vertical="center"/>
    </xf>
    <xf numFmtId="0" fontId="19" fillId="0" borderId="5" xfId="0" applyFont="1" applyBorder="1" applyAlignment="1">
      <alignment horizontal="right"/>
    </xf>
    <xf numFmtId="165" fontId="19" fillId="4" borderId="7" xfId="0" applyNumberFormat="1" applyFont="1" applyFill="1" applyBorder="1" applyAlignment="1"/>
    <xf numFmtId="165" fontId="19" fillId="4" borderId="10" xfId="0" applyNumberFormat="1" applyFont="1" applyFill="1" applyBorder="1" applyAlignment="1"/>
    <xf numFmtId="165" fontId="19" fillId="4" borderId="12" xfId="0" applyNumberFormat="1" applyFont="1" applyFill="1" applyBorder="1" applyAlignment="1"/>
    <xf numFmtId="0" fontId="22" fillId="0" borderId="35" xfId="0" applyFont="1" applyBorder="1"/>
    <xf numFmtId="0" fontId="22" fillId="0" borderId="34" xfId="0" applyFont="1" applyBorder="1" applyAlignment="1">
      <alignment horizontal="center"/>
    </xf>
    <xf numFmtId="165" fontId="19" fillId="3" borderId="7" xfId="0" applyNumberFormat="1" applyFont="1" applyFill="1" applyBorder="1" applyAlignment="1"/>
    <xf numFmtId="0" fontId="19" fillId="0" borderId="4" xfId="0" applyFont="1" applyBorder="1" applyAlignment="1">
      <alignment horizontal="right"/>
    </xf>
    <xf numFmtId="165" fontId="19" fillId="0" borderId="5" xfId="0" applyNumberFormat="1" applyFont="1" applyBorder="1" applyAlignment="1">
      <alignment horizontal="right"/>
    </xf>
    <xf numFmtId="0" fontId="19" fillId="0" borderId="4" xfId="0" applyFont="1" applyBorder="1" applyAlignment="1">
      <alignment horizontal="right" wrapText="1"/>
    </xf>
    <xf numFmtId="165" fontId="19" fillId="0" borderId="5" xfId="0" applyNumberFormat="1" applyFont="1" applyBorder="1" applyAlignment="1">
      <alignment horizontal="right" wrapText="1"/>
    </xf>
    <xf numFmtId="0" fontId="19" fillId="0" borderId="6" xfId="0" applyFont="1" applyBorder="1" applyAlignment="1">
      <alignment horizontal="center" vertical="center"/>
    </xf>
    <xf numFmtId="0" fontId="19" fillId="0" borderId="6" xfId="0" applyFont="1" applyBorder="1" applyAlignment="1">
      <alignment wrapText="1"/>
    </xf>
    <xf numFmtId="165" fontId="19" fillId="0" borderId="6" xfId="0" applyNumberFormat="1" applyFont="1" applyBorder="1"/>
    <xf numFmtId="0" fontId="19" fillId="0" borderId="6" xfId="0" applyFont="1" applyBorder="1"/>
    <xf numFmtId="0" fontId="19" fillId="3" borderId="6" xfId="0" applyFont="1" applyFill="1" applyBorder="1" applyAlignment="1">
      <alignment horizontal="center" vertical="center"/>
    </xf>
    <xf numFmtId="0" fontId="19" fillId="3" borderId="6" xfId="0" applyFont="1" applyFill="1" applyBorder="1"/>
    <xf numFmtId="165" fontId="19" fillId="3" borderId="6" xfId="0" applyNumberFormat="1" applyFont="1" applyFill="1" applyBorder="1"/>
    <xf numFmtId="0" fontId="19" fillId="3" borderId="6" xfId="0" applyFont="1" applyFill="1" applyBorder="1" applyAlignment="1">
      <alignment wrapText="1"/>
    </xf>
    <xf numFmtId="165" fontId="19" fillId="3" borderId="6" xfId="0" applyNumberFormat="1" applyFont="1" applyFill="1" applyBorder="1" applyAlignment="1">
      <alignment horizontal="center" vertical="center"/>
    </xf>
    <xf numFmtId="0" fontId="19" fillId="5" borderId="6" xfId="0" applyFont="1" applyFill="1" applyBorder="1"/>
    <xf numFmtId="165" fontId="19" fillId="5" borderId="6" xfId="0" applyNumberFormat="1" applyFont="1" applyFill="1" applyBorder="1" applyAlignment="1">
      <alignment horizontal="right"/>
    </xf>
    <xf numFmtId="165" fontId="19" fillId="5" borderId="10" xfId="0" applyNumberFormat="1" applyFont="1" applyFill="1" applyBorder="1" applyAlignment="1">
      <alignment horizontal="right"/>
    </xf>
    <xf numFmtId="0" fontId="21" fillId="0" borderId="0" xfId="0" applyFont="1" applyAlignment="1"/>
    <xf numFmtId="165" fontId="19" fillId="0" borderId="34" xfId="0" applyNumberFormat="1" applyFont="1" applyBorder="1" applyAlignment="1">
      <alignment horizontal="center" vertical="center"/>
    </xf>
    <xf numFmtId="165" fontId="19" fillId="0" borderId="29" xfId="0" applyNumberFormat="1" applyFont="1" applyBorder="1" applyAlignment="1">
      <alignment horizontal="center" vertical="center"/>
    </xf>
    <xf numFmtId="165" fontId="19" fillId="0" borderId="35" xfId="0" applyNumberFormat="1" applyFont="1" applyBorder="1" applyAlignment="1">
      <alignment vertical="center"/>
    </xf>
    <xf numFmtId="0" fontId="22" fillId="0" borderId="31" xfId="0" applyFont="1" applyBorder="1" applyAlignment="1">
      <alignment horizontal="center"/>
    </xf>
    <xf numFmtId="0" fontId="19" fillId="0" borderId="9" xfId="0" applyFont="1" applyBorder="1" applyAlignment="1">
      <alignment horizontal="right"/>
    </xf>
    <xf numFmtId="0" fontId="0" fillId="0" borderId="37" xfId="0" applyFont="1" applyBorder="1" applyAlignment="1"/>
    <xf numFmtId="165" fontId="19" fillId="0" borderId="38" xfId="0" applyNumberFormat="1" applyFont="1" applyFill="1" applyBorder="1" applyAlignment="1"/>
    <xf numFmtId="165" fontId="19" fillId="0" borderId="39" xfId="0" applyNumberFormat="1" applyFont="1" applyBorder="1" applyAlignment="1">
      <alignment horizontal="center" vertical="center"/>
    </xf>
    <xf numFmtId="0" fontId="19" fillId="0" borderId="40" xfId="0" applyFont="1" applyBorder="1" applyAlignment="1">
      <alignment horizontal="right"/>
    </xf>
    <xf numFmtId="165" fontId="19" fillId="0" borderId="35" xfId="0" applyNumberFormat="1" applyFont="1" applyFill="1" applyBorder="1" applyAlignment="1"/>
    <xf numFmtId="165" fontId="19" fillId="0" borderId="49" xfId="0" applyNumberFormat="1" applyFont="1" applyBorder="1" applyAlignment="1">
      <alignment horizontal="center" vertical="center"/>
    </xf>
    <xf numFmtId="0" fontId="19" fillId="0" borderId="50" xfId="0" applyFont="1" applyBorder="1" applyAlignment="1">
      <alignment horizontal="right"/>
    </xf>
    <xf numFmtId="0" fontId="0" fillId="0" borderId="35" xfId="0" applyFont="1" applyBorder="1" applyAlignment="1"/>
    <xf numFmtId="0" fontId="21" fillId="0" borderId="10" xfId="0" applyFont="1" applyBorder="1" applyAlignment="1">
      <alignment horizontal="right" vertical="center"/>
    </xf>
    <xf numFmtId="0" fontId="21" fillId="0" borderId="51" xfId="0" applyFont="1" applyBorder="1" applyAlignment="1">
      <alignment horizontal="right"/>
    </xf>
    <xf numFmtId="165" fontId="19" fillId="3" borderId="61" xfId="0" applyNumberFormat="1" applyFont="1" applyFill="1" applyBorder="1" applyAlignment="1"/>
    <xf numFmtId="165" fontId="19" fillId="4" borderId="62" xfId="0" applyNumberFormat="1" applyFont="1" applyFill="1" applyBorder="1" applyAlignment="1"/>
    <xf numFmtId="165" fontId="19" fillId="4" borderId="11" xfId="0" applyNumberFormat="1" applyFont="1" applyFill="1" applyBorder="1" applyAlignment="1"/>
    <xf numFmtId="165" fontId="19" fillId="3" borderId="12" xfId="0" applyNumberFormat="1" applyFont="1" applyFill="1" applyBorder="1" applyAlignment="1"/>
    <xf numFmtId="165" fontId="19" fillId="0" borderId="12" xfId="0" applyNumberFormat="1" applyFont="1" applyFill="1" applyBorder="1" applyAlignment="1"/>
    <xf numFmtId="165" fontId="19" fillId="0" borderId="25" xfId="0" applyNumberFormat="1" applyFont="1" applyFill="1" applyBorder="1" applyAlignment="1"/>
    <xf numFmtId="0" fontId="16" fillId="2" borderId="24" xfId="0" applyFont="1" applyFill="1" applyBorder="1" applyAlignment="1">
      <alignment horizontal="center" vertical="center" wrapText="1"/>
    </xf>
    <xf numFmtId="0" fontId="19" fillId="5" borderId="6" xfId="0" applyFont="1" applyFill="1" applyBorder="1" applyAlignment="1">
      <alignment wrapText="1"/>
    </xf>
    <xf numFmtId="0" fontId="2" fillId="0" borderId="0" xfId="0" applyFont="1" applyAlignment="1">
      <alignment wrapText="1"/>
    </xf>
    <xf numFmtId="0" fontId="0" fillId="0" borderId="0" xfId="0" applyFont="1" applyAlignment="1">
      <alignment wrapText="1"/>
    </xf>
    <xf numFmtId="0" fontId="16" fillId="0" borderId="5" xfId="0" applyFont="1" applyBorder="1" applyAlignment="1">
      <alignment horizontal="right"/>
    </xf>
    <xf numFmtId="0" fontId="16" fillId="0" borderId="4" xfId="0" applyFont="1" applyBorder="1" applyAlignment="1">
      <alignment horizontal="right"/>
    </xf>
    <xf numFmtId="165" fontId="19" fillId="0" borderId="37" xfId="0" applyNumberFormat="1" applyFont="1" applyBorder="1" applyAlignment="1">
      <alignment horizontal="center" vertical="center"/>
    </xf>
    <xf numFmtId="165" fontId="19" fillId="0" borderId="36" xfId="0" applyNumberFormat="1" applyFont="1" applyBorder="1" applyAlignment="1">
      <alignment horizontal="center" vertical="center"/>
    </xf>
    <xf numFmtId="14" fontId="0" fillId="0" borderId="37" xfId="0" applyNumberFormat="1" applyFont="1" applyBorder="1" applyAlignment="1"/>
    <xf numFmtId="14" fontId="0" fillId="0" borderId="35" xfId="0" applyNumberFormat="1" applyFont="1" applyBorder="1" applyAlignment="1"/>
    <xf numFmtId="14" fontId="19" fillId="0" borderId="35" xfId="0" applyNumberFormat="1" applyFont="1" applyFill="1" applyBorder="1" applyAlignment="1"/>
    <xf numFmtId="14" fontId="19" fillId="0" borderId="38" xfId="0" applyNumberFormat="1" applyFont="1" applyFill="1" applyBorder="1" applyAlignment="1"/>
    <xf numFmtId="0" fontId="19" fillId="0" borderId="5" xfId="0" applyFont="1" applyBorder="1" applyAlignment="1">
      <alignment horizontal="right" wrapText="1"/>
    </xf>
    <xf numFmtId="0" fontId="19" fillId="0" borderId="35" xfId="0" applyNumberFormat="1" applyFont="1" applyFill="1" applyBorder="1" applyAlignment="1"/>
    <xf numFmtId="165" fontId="19" fillId="8" borderId="12" xfId="0" applyNumberFormat="1" applyFont="1" applyFill="1" applyBorder="1" applyAlignment="1"/>
    <xf numFmtId="165" fontId="19" fillId="9" borderId="12" xfId="0" applyNumberFormat="1" applyFont="1" applyFill="1" applyBorder="1" applyAlignment="1"/>
    <xf numFmtId="0" fontId="23" fillId="0" borderId="30" xfId="0" applyFont="1" applyBorder="1" applyAlignment="1">
      <alignment horizontal="right"/>
    </xf>
    <xf numFmtId="165" fontId="2" fillId="0" borderId="5" xfId="0" applyNumberFormat="1" applyFont="1" applyBorder="1" applyAlignment="1">
      <alignment horizontal="right" wrapText="1"/>
    </xf>
    <xf numFmtId="0" fontId="2" fillId="0" borderId="40" xfId="0" applyFont="1" applyBorder="1" applyAlignment="1">
      <alignment horizontal="right"/>
    </xf>
    <xf numFmtId="0" fontId="2" fillId="0" borderId="4" xfId="0" applyFont="1" applyBorder="1" applyAlignment="1">
      <alignment horizontal="right" wrapText="1"/>
    </xf>
    <xf numFmtId="0" fontId="0" fillId="0" borderId="0" xfId="0" applyFont="1" applyAlignment="1"/>
    <xf numFmtId="49" fontId="1" fillId="0" borderId="9" xfId="0" applyNumberFormat="1" applyFont="1" applyBorder="1" applyAlignment="1">
      <alignment horizontal="center" vertical="center" wrapText="1"/>
    </xf>
    <xf numFmtId="0" fontId="6" fillId="0" borderId="9" xfId="0" applyFont="1" applyBorder="1" applyAlignment="1">
      <alignment horizontal="left" vertical="center" wrapText="1"/>
    </xf>
    <xf numFmtId="165" fontId="1" fillId="0" borderId="8" xfId="0" applyNumberFormat="1" applyFont="1" applyBorder="1" applyAlignment="1">
      <alignment horizontal="center" vertical="center" wrapText="1"/>
    </xf>
    <xf numFmtId="0" fontId="0" fillId="0" borderId="0" xfId="0" applyNumberFormat="1" applyFont="1" applyAlignment="1"/>
    <xf numFmtId="0" fontId="1" fillId="0" borderId="6" xfId="0" applyNumberFormat="1" applyFont="1" applyBorder="1" applyAlignment="1">
      <alignment horizontal="center" vertical="center" wrapText="1"/>
    </xf>
    <xf numFmtId="0" fontId="2" fillId="0" borderId="0" xfId="0" applyNumberFormat="1" applyFont="1" applyAlignment="1">
      <alignment horizontal="center"/>
    </xf>
    <xf numFmtId="166" fontId="2" fillId="0" borderId="8" xfId="0" applyNumberFormat="1" applyFont="1" applyBorder="1" applyAlignment="1">
      <alignment horizontal="center" vertical="center" wrapText="1"/>
    </xf>
    <xf numFmtId="1" fontId="2" fillId="0" borderId="8" xfId="0" applyNumberFormat="1" applyFont="1" applyBorder="1" applyAlignment="1">
      <alignment horizontal="center" vertical="center" wrapText="1"/>
    </xf>
    <xf numFmtId="1" fontId="1" fillId="2" borderId="9" xfId="0" applyNumberFormat="1" applyFont="1" applyFill="1" applyBorder="1" applyAlignment="1">
      <alignment horizontal="center" vertical="center" wrapText="1"/>
    </xf>
    <xf numFmtId="1" fontId="1" fillId="0" borderId="8" xfId="0" applyNumberFormat="1" applyFont="1" applyBorder="1" applyAlignment="1">
      <alignment horizontal="center" vertical="center" wrapText="1"/>
    </xf>
    <xf numFmtId="165" fontId="2" fillId="0" borderId="9" xfId="0" applyNumberFormat="1" applyFont="1" applyBorder="1" applyAlignment="1">
      <alignment horizontal="center" vertical="center" wrapText="1"/>
    </xf>
    <xf numFmtId="49" fontId="1" fillId="10" borderId="9" xfId="0" applyNumberFormat="1" applyFont="1" applyFill="1" applyBorder="1" applyAlignment="1">
      <alignment horizontal="center" vertical="center" wrapText="1"/>
    </xf>
    <xf numFmtId="0" fontId="7" fillId="10" borderId="9" xfId="0" applyFont="1" applyFill="1" applyBorder="1" applyAlignment="1">
      <alignment horizontal="center" vertical="center" wrapText="1"/>
    </xf>
    <xf numFmtId="0" fontId="6" fillId="10" borderId="9" xfId="0" applyFont="1" applyFill="1" applyBorder="1" applyAlignment="1">
      <alignment horizontal="center" vertical="center" wrapText="1"/>
    </xf>
    <xf numFmtId="4" fontId="1" fillId="10" borderId="9" xfId="0" applyNumberFormat="1" applyFont="1" applyFill="1" applyBorder="1" applyAlignment="1">
      <alignment horizontal="center" vertical="center" wrapText="1"/>
    </xf>
    <xf numFmtId="0" fontId="1" fillId="10" borderId="9" xfId="0" applyNumberFormat="1" applyFont="1" applyFill="1" applyBorder="1" applyAlignment="1">
      <alignment horizontal="center" vertical="center" wrapText="1"/>
    </xf>
    <xf numFmtId="0" fontId="0" fillId="11" borderId="0" xfId="0" applyFont="1" applyFill="1" applyAlignment="1"/>
    <xf numFmtId="49" fontId="1" fillId="11" borderId="8" xfId="0" applyNumberFormat="1" applyFont="1" applyFill="1" applyBorder="1" applyAlignment="1">
      <alignment horizontal="center" vertical="center" wrapText="1"/>
    </xf>
    <xf numFmtId="0" fontId="6" fillId="11" borderId="8" xfId="0" applyFont="1" applyFill="1" applyBorder="1" applyAlignment="1">
      <alignment horizontal="left" vertical="center" wrapText="1"/>
    </xf>
    <xf numFmtId="0" fontId="9" fillId="11" borderId="8" xfId="0" applyFont="1" applyFill="1" applyBorder="1" applyAlignment="1">
      <alignment horizontal="center" vertical="center" wrapText="1"/>
    </xf>
    <xf numFmtId="4" fontId="2" fillId="11" borderId="8" xfId="0" applyNumberFormat="1" applyFont="1" applyFill="1" applyBorder="1" applyAlignment="1">
      <alignment horizontal="center" vertical="center" wrapText="1"/>
    </xf>
    <xf numFmtId="166" fontId="2" fillId="11" borderId="8" xfId="0" applyNumberFormat="1" applyFont="1" applyFill="1" applyBorder="1" applyAlignment="1">
      <alignment horizontal="center" vertical="center" wrapText="1"/>
    </xf>
    <xf numFmtId="1" fontId="2" fillId="11" borderId="8" xfId="0" applyNumberFormat="1" applyFont="1" applyFill="1" applyBorder="1" applyAlignment="1">
      <alignment horizontal="center" vertical="center" wrapText="1"/>
    </xf>
    <xf numFmtId="0" fontId="2" fillId="11" borderId="8" xfId="0" applyFont="1" applyFill="1" applyBorder="1" applyAlignment="1">
      <alignment horizontal="center" vertical="center" wrapText="1"/>
    </xf>
    <xf numFmtId="0" fontId="9" fillId="10" borderId="9" xfId="0" applyFont="1" applyFill="1" applyBorder="1" applyAlignment="1">
      <alignment horizontal="center" vertical="center" wrapText="1"/>
    </xf>
    <xf numFmtId="4" fontId="2" fillId="10" borderId="9" xfId="0" applyNumberFormat="1" applyFont="1" applyFill="1" applyBorder="1" applyAlignment="1">
      <alignment horizontal="center" vertical="center" wrapText="1"/>
    </xf>
    <xf numFmtId="49" fontId="2" fillId="10" borderId="9"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49" fontId="16" fillId="11" borderId="8" xfId="0" applyNumberFormat="1" applyFont="1" applyFill="1" applyBorder="1" applyAlignment="1">
      <alignment horizontal="center" vertical="center" wrapText="1"/>
    </xf>
    <xf numFmtId="0" fontId="17" fillId="11" borderId="8" xfId="0" applyFont="1" applyFill="1" applyBorder="1" applyAlignment="1">
      <alignment horizontal="left" vertical="center" wrapText="1"/>
    </xf>
    <xf numFmtId="0" fontId="18" fillId="11" borderId="1" xfId="0" applyFont="1" applyFill="1" applyBorder="1" applyAlignment="1">
      <alignment horizontal="center" vertical="center" wrapText="1"/>
    </xf>
    <xf numFmtId="49" fontId="1" fillId="11" borderId="9" xfId="0" applyNumberFormat="1" applyFont="1" applyFill="1" applyBorder="1" applyAlignment="1">
      <alignment horizontal="center" vertical="center" wrapText="1"/>
    </xf>
    <xf numFmtId="0" fontId="6" fillId="11" borderId="21" xfId="0" applyFont="1" applyFill="1" applyBorder="1" applyAlignment="1">
      <alignment horizontal="left" vertical="center" wrapText="1"/>
    </xf>
    <xf numFmtId="0" fontId="9" fillId="11" borderId="10" xfId="0" applyFont="1" applyFill="1" applyBorder="1" applyAlignment="1">
      <alignment horizontal="center" vertical="center" wrapText="1"/>
    </xf>
    <xf numFmtId="4" fontId="2" fillId="11" borderId="16" xfId="0" applyNumberFormat="1" applyFont="1" applyFill="1" applyBorder="1" applyAlignment="1">
      <alignment horizontal="center" vertical="center" wrapText="1"/>
    </xf>
    <xf numFmtId="4" fontId="2" fillId="11" borderId="9" xfId="0" applyNumberFormat="1" applyFont="1" applyFill="1" applyBorder="1" applyAlignment="1">
      <alignment horizontal="center" vertical="center" wrapText="1"/>
    </xf>
    <xf numFmtId="0" fontId="7" fillId="10" borderId="21" xfId="0" applyFont="1" applyFill="1" applyBorder="1" applyAlignment="1">
      <alignment horizontal="center" vertical="top" wrapText="1"/>
    </xf>
    <xf numFmtId="0" fontId="6" fillId="10" borderId="20" xfId="0" applyFont="1" applyFill="1" applyBorder="1" applyAlignment="1">
      <alignment horizontal="center" vertical="center" wrapText="1"/>
    </xf>
    <xf numFmtId="4" fontId="1" fillId="10" borderId="16" xfId="0" applyNumberFormat="1" applyFont="1" applyFill="1" applyBorder="1" applyAlignment="1">
      <alignment horizontal="center" vertical="center" wrapText="1"/>
    </xf>
    <xf numFmtId="0" fontId="6" fillId="11" borderId="9" xfId="0" applyFont="1" applyFill="1" applyBorder="1" applyAlignment="1">
      <alignment horizontal="left" vertical="center" wrapText="1"/>
    </xf>
    <xf numFmtId="0" fontId="7" fillId="10" borderId="9" xfId="0" applyFont="1" applyFill="1" applyBorder="1" applyAlignment="1">
      <alignment horizontal="center" vertical="top" wrapText="1"/>
    </xf>
    <xf numFmtId="0" fontId="6" fillId="10" borderId="12" xfId="0" applyFont="1" applyFill="1" applyBorder="1" applyAlignment="1">
      <alignment horizontal="center" vertical="center" wrapText="1"/>
    </xf>
    <xf numFmtId="165" fontId="19" fillId="12" borderId="25" xfId="0" applyNumberFormat="1" applyFont="1" applyFill="1" applyBorder="1" applyAlignment="1"/>
    <xf numFmtId="165" fontId="21" fillId="8" borderId="30" xfId="0" applyNumberFormat="1" applyFont="1" applyFill="1" applyBorder="1" applyAlignment="1">
      <alignment horizontal="right"/>
    </xf>
    <xf numFmtId="165" fontId="19" fillId="8" borderId="25" xfId="0" applyNumberFormat="1" applyFont="1" applyFill="1" applyBorder="1" applyAlignment="1"/>
    <xf numFmtId="0" fontId="2" fillId="3" borderId="6" xfId="0" applyFont="1" applyFill="1" applyBorder="1" applyAlignment="1">
      <alignment horizontal="center" vertical="center"/>
    </xf>
    <xf numFmtId="0" fontId="2" fillId="0" borderId="9" xfId="0" applyFont="1" applyBorder="1" applyAlignment="1">
      <alignment horizontal="right"/>
    </xf>
    <xf numFmtId="165" fontId="19" fillId="13" borderId="10" xfId="0" applyNumberFormat="1" applyFont="1" applyFill="1" applyBorder="1" applyAlignment="1"/>
    <xf numFmtId="0" fontId="2" fillId="0" borderId="5" xfId="0" applyFont="1" applyBorder="1" applyAlignment="1">
      <alignment horizontal="right"/>
    </xf>
    <xf numFmtId="165" fontId="19" fillId="12" borderId="12" xfId="0" applyNumberFormat="1" applyFont="1" applyFill="1" applyBorder="1" applyAlignment="1"/>
    <xf numFmtId="0" fontId="2" fillId="0" borderId="4" xfId="0" applyFont="1" applyBorder="1" applyAlignment="1">
      <alignment horizontal="right"/>
    </xf>
    <xf numFmtId="165" fontId="19" fillId="14" borderId="12" xfId="0" applyNumberFormat="1" applyFont="1" applyFill="1" applyBorder="1" applyAlignment="1"/>
    <xf numFmtId="0" fontId="0" fillId="0" borderId="0" xfId="0" applyFont="1" applyAlignment="1"/>
    <xf numFmtId="0" fontId="0" fillId="0" borderId="0" xfId="0" applyFont="1" applyAlignment="1"/>
    <xf numFmtId="0" fontId="19" fillId="0" borderId="45" xfId="0" applyFont="1" applyBorder="1" applyAlignment="1">
      <alignment horizontal="center" vertical="center"/>
    </xf>
    <xf numFmtId="0" fontId="19" fillId="0" borderId="47" xfId="0" applyFont="1" applyBorder="1" applyAlignment="1">
      <alignment horizontal="center" vertical="center"/>
    </xf>
    <xf numFmtId="0" fontId="19" fillId="0" borderId="46" xfId="0" applyFont="1" applyBorder="1" applyAlignment="1">
      <alignment horizontal="center" vertical="center"/>
    </xf>
    <xf numFmtId="165" fontId="19" fillId="0" borderId="43" xfId="0" applyNumberFormat="1" applyFont="1" applyBorder="1" applyAlignment="1">
      <alignment horizontal="center" vertical="center"/>
    </xf>
    <xf numFmtId="165" fontId="19" fillId="0" borderId="60" xfId="0" applyNumberFormat="1" applyFont="1" applyBorder="1" applyAlignment="1">
      <alignment horizontal="center" vertical="center"/>
    </xf>
    <xf numFmtId="0" fontId="19" fillId="0" borderId="63" xfId="0" applyFont="1" applyBorder="1" applyAlignment="1">
      <alignment horizontal="center" vertical="center"/>
    </xf>
    <xf numFmtId="0" fontId="19" fillId="0" borderId="33" xfId="0" applyFont="1" applyBorder="1" applyAlignment="1">
      <alignment horizontal="center" vertical="center"/>
    </xf>
    <xf numFmtId="0" fontId="19" fillId="0" borderId="64"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56" xfId="0" applyFont="1" applyBorder="1" applyAlignment="1">
      <alignment horizontal="center" vertical="center"/>
    </xf>
    <xf numFmtId="0" fontId="19" fillId="0" borderId="36" xfId="0" applyFont="1" applyBorder="1" applyAlignment="1">
      <alignment horizontal="center" vertical="center"/>
    </xf>
    <xf numFmtId="0" fontId="19" fillId="0" borderId="57" xfId="0" applyFont="1" applyBorder="1" applyAlignment="1">
      <alignment horizontal="center" vertical="center"/>
    </xf>
    <xf numFmtId="165" fontId="19" fillId="0" borderId="56" xfId="0" applyNumberFormat="1" applyFont="1" applyBorder="1" applyAlignment="1">
      <alignment horizontal="center" vertical="center"/>
    </xf>
    <xf numFmtId="165" fontId="19" fillId="0" borderId="36" xfId="0" applyNumberFormat="1" applyFont="1" applyBorder="1" applyAlignment="1">
      <alignment horizontal="center" vertical="center"/>
    </xf>
    <xf numFmtId="0" fontId="22" fillId="0" borderId="54" xfId="0" applyFont="1" applyBorder="1" applyAlignment="1">
      <alignment horizontal="center" vertical="center"/>
    </xf>
    <xf numFmtId="165" fontId="19" fillId="0" borderId="52" xfId="0" applyNumberFormat="1" applyFont="1" applyBorder="1" applyAlignment="1">
      <alignment horizontal="center" vertical="center"/>
    </xf>
    <xf numFmtId="0" fontId="22" fillId="0" borderId="41" xfId="0" applyFont="1" applyBorder="1" applyAlignment="1">
      <alignment horizontal="center" vertical="center" wrapText="1"/>
    </xf>
    <xf numFmtId="0" fontId="22" fillId="0" borderId="59" xfId="0" applyFont="1" applyBorder="1" applyAlignment="1">
      <alignment horizontal="center" vertical="center" wrapText="1"/>
    </xf>
    <xf numFmtId="165" fontId="19" fillId="0" borderId="3" xfId="0" applyNumberFormat="1" applyFont="1" applyBorder="1" applyAlignment="1">
      <alignment horizontal="right" vertical="center"/>
    </xf>
    <xf numFmtId="165" fontId="19" fillId="0" borderId="11" xfId="0" applyNumberFormat="1" applyFont="1" applyBorder="1" applyAlignment="1">
      <alignment horizontal="right" vertical="center"/>
    </xf>
    <xf numFmtId="165" fontId="19" fillId="0" borderId="22" xfId="0" applyNumberFormat="1" applyFont="1" applyFill="1" applyBorder="1" applyAlignment="1">
      <alignment horizontal="center" vertical="center"/>
    </xf>
    <xf numFmtId="165" fontId="19" fillId="0" borderId="28" xfId="0" applyNumberFormat="1" applyFont="1" applyFill="1" applyBorder="1" applyAlignment="1">
      <alignment horizontal="center" vertical="center"/>
    </xf>
    <xf numFmtId="0" fontId="22" fillId="0" borderId="42" xfId="0" applyFont="1" applyBorder="1" applyAlignment="1">
      <alignment horizontal="center" vertical="center" wrapText="1"/>
    </xf>
    <xf numFmtId="165" fontId="19" fillId="0" borderId="44" xfId="0" applyNumberFormat="1" applyFont="1" applyBorder="1" applyAlignment="1">
      <alignment horizontal="center" vertical="center"/>
    </xf>
    <xf numFmtId="165" fontId="19" fillId="0" borderId="56" xfId="0" applyNumberFormat="1" applyFont="1" applyBorder="1" applyAlignment="1">
      <alignment horizontal="center" vertical="center" wrapText="1"/>
    </xf>
    <xf numFmtId="165" fontId="19" fillId="0" borderId="36" xfId="0" applyNumberFormat="1" applyFont="1" applyBorder="1" applyAlignment="1">
      <alignment horizontal="center" vertical="center" wrapText="1"/>
    </xf>
    <xf numFmtId="0" fontId="19" fillId="0" borderId="45" xfId="0" applyFont="1" applyFill="1" applyBorder="1" applyAlignment="1">
      <alignment horizontal="center" vertical="center"/>
    </xf>
    <xf numFmtId="0" fontId="19" fillId="0" borderId="47" xfId="0" applyFont="1" applyFill="1" applyBorder="1" applyAlignment="1">
      <alignment horizontal="center" vertical="center"/>
    </xf>
    <xf numFmtId="0" fontId="19" fillId="0" borderId="46" xfId="0" applyFont="1" applyFill="1" applyBorder="1" applyAlignment="1">
      <alignment horizontal="center" vertical="center"/>
    </xf>
    <xf numFmtId="0" fontId="19" fillId="0" borderId="31" xfId="0" applyFont="1" applyBorder="1" applyAlignment="1">
      <alignment horizontal="center" vertical="center"/>
    </xf>
    <xf numFmtId="0" fontId="19" fillId="0" borderId="65" xfId="0" applyFont="1" applyBorder="1" applyAlignment="1">
      <alignment horizontal="center" vertical="center" wrapText="1"/>
    </xf>
    <xf numFmtId="165" fontId="19" fillId="0" borderId="57" xfId="0" applyNumberFormat="1" applyFont="1" applyBorder="1" applyAlignment="1">
      <alignment horizontal="center" vertical="center"/>
    </xf>
    <xf numFmtId="0" fontId="22" fillId="0" borderId="55" xfId="0" applyFont="1" applyBorder="1" applyAlignment="1">
      <alignment horizontal="center" vertical="center"/>
    </xf>
    <xf numFmtId="165" fontId="19" fillId="0" borderId="53" xfId="0" applyNumberFormat="1" applyFont="1" applyBorder="1" applyAlignment="1">
      <alignment horizontal="center" vertical="center"/>
    </xf>
    <xf numFmtId="165" fontId="19" fillId="0" borderId="43" xfId="0" applyNumberFormat="1" applyFont="1" applyBorder="1" applyAlignment="1">
      <alignment horizontal="right" vertical="center"/>
    </xf>
    <xf numFmtId="165" fontId="19" fillId="0" borderId="44" xfId="0" applyNumberFormat="1" applyFont="1" applyBorder="1" applyAlignment="1">
      <alignment horizontal="right" vertical="center"/>
    </xf>
    <xf numFmtId="0" fontId="2" fillId="0" borderId="64" xfId="0" applyFont="1" applyBorder="1" applyAlignment="1">
      <alignment horizontal="center" vertical="center" wrapText="1"/>
    </xf>
    <xf numFmtId="165" fontId="2" fillId="0" borderId="58" xfId="0" applyNumberFormat="1" applyFont="1" applyBorder="1" applyAlignment="1">
      <alignment horizontal="center" vertical="center"/>
    </xf>
    <xf numFmtId="165" fontId="19" fillId="0" borderId="54" xfId="0" applyNumberFormat="1" applyFont="1" applyBorder="1" applyAlignment="1">
      <alignment horizontal="center" vertical="center"/>
    </xf>
    <xf numFmtId="0" fontId="19" fillId="0" borderId="2" xfId="0" applyFont="1" applyBorder="1" applyAlignment="1">
      <alignment horizontal="center" vertical="center"/>
    </xf>
    <xf numFmtId="0" fontId="19" fillId="0" borderId="26" xfId="0" applyFont="1" applyBorder="1" applyAlignment="1">
      <alignment horizontal="center" vertical="center"/>
    </xf>
    <xf numFmtId="164" fontId="16" fillId="2" borderId="48" xfId="0" applyNumberFormat="1" applyFont="1" applyFill="1" applyBorder="1" applyAlignment="1">
      <alignment horizontal="center" vertical="center" wrapText="1"/>
    </xf>
    <xf numFmtId="164" fontId="16" fillId="2" borderId="32" xfId="0" applyNumberFormat="1" applyFont="1" applyFill="1" applyBorder="1" applyAlignment="1">
      <alignment horizontal="center" vertical="center" wrapText="1"/>
    </xf>
    <xf numFmtId="164" fontId="16" fillId="2" borderId="27" xfId="0" applyNumberFormat="1" applyFont="1" applyFill="1" applyBorder="1" applyAlignment="1">
      <alignment horizontal="center" vertical="center" wrapText="1"/>
    </xf>
    <xf numFmtId="164" fontId="16" fillId="2" borderId="45" xfId="0" applyNumberFormat="1" applyFont="1" applyFill="1" applyBorder="1" applyAlignment="1">
      <alignment horizontal="center" vertical="center" wrapText="1"/>
    </xf>
    <xf numFmtId="164" fontId="16" fillId="2" borderId="46" xfId="0" applyNumberFormat="1" applyFont="1" applyFill="1" applyBorder="1" applyAlignment="1">
      <alignment horizontal="center" vertical="center" wrapText="1"/>
    </xf>
    <xf numFmtId="164" fontId="16" fillId="2" borderId="37" xfId="0" applyNumberFormat="1" applyFont="1" applyFill="1" applyBorder="1" applyAlignment="1">
      <alignment horizontal="center" vertical="center" wrapText="1"/>
    </xf>
    <xf numFmtId="0" fontId="19" fillId="0" borderId="23" xfId="0" applyFont="1" applyBorder="1" applyAlignment="1">
      <alignment horizontal="center" vertical="center" wrapText="1"/>
    </xf>
    <xf numFmtId="165" fontId="2" fillId="0" borderId="56" xfId="0" applyNumberFormat="1" applyFont="1" applyBorder="1" applyAlignment="1">
      <alignment horizontal="center" vertical="center"/>
    </xf>
    <xf numFmtId="165" fontId="19" fillId="0" borderId="57" xfId="0" applyNumberFormat="1" applyFont="1" applyBorder="1" applyAlignment="1">
      <alignment horizontal="center" vertical="center" wrapText="1"/>
    </xf>
    <xf numFmtId="0" fontId="3" fillId="0" borderId="0" xfId="0" applyFont="1" applyAlignment="1">
      <alignment horizontal="left"/>
    </xf>
    <xf numFmtId="0" fontId="0" fillId="0" borderId="0" xfId="0" applyFont="1" applyAlignment="1"/>
    <xf numFmtId="0" fontId="5" fillId="0" borderId="0" xfId="0" applyFont="1" applyAlignment="1">
      <alignment horizontal="center"/>
    </xf>
    <xf numFmtId="0" fontId="6" fillId="0" borderId="0" xfId="0" applyFont="1" applyAlignment="1">
      <alignment horizontal="center" vertical="center" wrapText="1"/>
    </xf>
    <xf numFmtId="0" fontId="17" fillId="0" borderId="0" xfId="0" applyFont="1" applyAlignment="1">
      <alignment horizontal="left" vertical="center" wrapText="1"/>
    </xf>
    <xf numFmtId="0" fontId="1" fillId="0" borderId="12" xfId="0" applyFont="1" applyBorder="1" applyAlignment="1">
      <alignment horizontal="center" vertical="center" wrapText="1"/>
    </xf>
    <xf numFmtId="0" fontId="1" fillId="0" borderId="66" xfId="0" applyFont="1" applyBorder="1" applyAlignment="1">
      <alignment horizontal="center" vertical="center" wrapText="1"/>
    </xf>
    <xf numFmtId="0" fontId="1" fillId="0" borderId="67" xfId="0" applyFont="1" applyBorder="1" applyAlignment="1">
      <alignment horizontal="center" vertical="center" wrapText="1"/>
    </xf>
    <xf numFmtId="0" fontId="1" fillId="0" borderId="68"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colors>
    <mruColors>
      <color rgb="FFFF5050"/>
      <color rgb="FF68B881"/>
      <color rgb="FFFF5A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141"/>
  <sheetViews>
    <sheetView zoomScale="80" zoomScaleNormal="80" zoomScaleSheetLayoutView="50" workbookViewId="0">
      <pane ySplit="1" topLeftCell="A85" activePane="bottomLeft" state="frozen"/>
      <selection pane="bottomLeft" activeCell="D174" sqref="D174"/>
    </sheetView>
  </sheetViews>
  <sheetFormatPr defaultColWidth="14.42578125" defaultRowHeight="15" customHeight="1"/>
  <cols>
    <col min="1" max="1" width="5.140625" customWidth="1"/>
    <col min="2" max="2" width="35.140625" style="121" customWidth="1"/>
    <col min="3" max="3" width="12.85546875" style="66" customWidth="1"/>
    <col min="4" max="4" width="16.5703125" customWidth="1"/>
    <col min="5" max="5" width="13.85546875" style="66" customWidth="1"/>
    <col min="6" max="6" width="15.42578125" customWidth="1"/>
    <col min="7" max="7" width="14.42578125" style="66" customWidth="1"/>
    <col min="8" max="8" width="17.140625" customWidth="1"/>
    <col min="9" max="9" width="14.7109375" style="66" customWidth="1"/>
    <col min="10" max="10" width="14.42578125" customWidth="1"/>
    <col min="11" max="11" width="14.42578125" style="66" customWidth="1"/>
    <col min="12" max="12" width="15.85546875" customWidth="1"/>
    <col min="13" max="13" width="8.7109375" style="66" customWidth="1"/>
    <col min="14" max="14" width="15.42578125" style="59" customWidth="1"/>
    <col min="15" max="15" width="15.42578125" style="65" customWidth="1"/>
    <col min="16" max="27" width="8.7109375" customWidth="1"/>
  </cols>
  <sheetData>
    <row r="1" spans="1:28" ht="39.75" customHeight="1" thickBot="1">
      <c r="A1" s="71" t="s">
        <v>0</v>
      </c>
      <c r="B1" s="118" t="s">
        <v>1</v>
      </c>
      <c r="C1" s="237" t="s">
        <v>309</v>
      </c>
      <c r="D1" s="238"/>
      <c r="E1" s="234" t="s">
        <v>3</v>
      </c>
      <c r="F1" s="239"/>
      <c r="G1" s="237" t="s">
        <v>312</v>
      </c>
      <c r="H1" s="238"/>
      <c r="I1" s="237" t="s">
        <v>313</v>
      </c>
      <c r="J1" s="238"/>
      <c r="K1" s="234" t="s">
        <v>314</v>
      </c>
      <c r="L1" s="235"/>
      <c r="M1" s="236" t="s">
        <v>318</v>
      </c>
      <c r="N1" s="235"/>
      <c r="O1" s="67" t="s">
        <v>53</v>
      </c>
      <c r="P1" s="1"/>
      <c r="Q1" s="1"/>
      <c r="R1" s="1"/>
      <c r="S1" s="1"/>
      <c r="T1" s="1"/>
      <c r="U1" s="1"/>
      <c r="V1" s="1"/>
      <c r="W1" s="1"/>
      <c r="X1" s="1"/>
      <c r="Y1" s="1"/>
      <c r="Z1" s="1"/>
      <c r="AA1" s="1"/>
      <c r="AB1" s="2"/>
    </row>
    <row r="2" spans="1:28">
      <c r="A2" s="232">
        <v>1</v>
      </c>
      <c r="B2" s="240" t="s">
        <v>4</v>
      </c>
      <c r="C2" s="72" t="s">
        <v>288</v>
      </c>
      <c r="D2" s="69" t="s">
        <v>317</v>
      </c>
      <c r="E2" s="72" t="s">
        <v>288</v>
      </c>
      <c r="F2" s="69" t="s">
        <v>317</v>
      </c>
      <c r="G2" s="72" t="s">
        <v>288</v>
      </c>
      <c r="H2" s="69" t="s">
        <v>317</v>
      </c>
      <c r="I2" s="72" t="s">
        <v>288</v>
      </c>
      <c r="J2" s="69" t="s">
        <v>317</v>
      </c>
      <c r="K2" s="72" t="s">
        <v>288</v>
      </c>
      <c r="L2" s="69" t="s">
        <v>317</v>
      </c>
      <c r="M2" s="202" t="s">
        <v>288</v>
      </c>
      <c r="N2" s="202" t="s">
        <v>320</v>
      </c>
      <c r="O2" s="230" t="s">
        <v>334</v>
      </c>
      <c r="P2" s="2"/>
      <c r="Q2" s="2"/>
      <c r="R2" s="2"/>
      <c r="S2" s="2"/>
      <c r="T2" s="2"/>
      <c r="U2" s="2"/>
      <c r="V2" s="2"/>
      <c r="W2" s="2"/>
      <c r="X2" s="2"/>
      <c r="Y2" s="2"/>
      <c r="Z2" s="2"/>
      <c r="AA2" s="2"/>
      <c r="AB2" s="2"/>
    </row>
    <row r="3" spans="1:28" ht="15.75" thickBot="1">
      <c r="A3" s="233"/>
      <c r="B3" s="201"/>
      <c r="C3" s="78" t="s">
        <v>305</v>
      </c>
      <c r="D3" s="77"/>
      <c r="E3" s="78" t="s">
        <v>305</v>
      </c>
      <c r="F3" s="77"/>
      <c r="G3" s="97" t="s">
        <v>305</v>
      </c>
      <c r="H3" s="102"/>
      <c r="I3" s="97" t="s">
        <v>305</v>
      </c>
      <c r="J3" s="109"/>
      <c r="K3" s="97" t="s">
        <v>305</v>
      </c>
      <c r="L3" s="109"/>
      <c r="M3" s="203"/>
      <c r="N3" s="203"/>
      <c r="O3" s="231"/>
      <c r="P3" s="2"/>
      <c r="Q3" s="2"/>
      <c r="R3" s="2"/>
      <c r="S3" s="2"/>
      <c r="T3" s="2"/>
      <c r="U3" s="2"/>
      <c r="V3" s="2"/>
      <c r="W3" s="2"/>
      <c r="X3" s="2"/>
      <c r="Y3" s="2"/>
      <c r="Z3" s="2"/>
      <c r="AA3" s="2"/>
      <c r="AB3" s="2"/>
    </row>
    <row r="4" spans="1:28" s="66" customFormat="1">
      <c r="A4" s="233"/>
      <c r="B4" s="201"/>
      <c r="C4" s="72" t="s">
        <v>288</v>
      </c>
      <c r="D4" s="69" t="s">
        <v>317</v>
      </c>
      <c r="E4" s="72" t="s">
        <v>288</v>
      </c>
      <c r="F4" s="69" t="s">
        <v>317</v>
      </c>
      <c r="G4" s="72" t="s">
        <v>288</v>
      </c>
      <c r="H4" s="69" t="s">
        <v>317</v>
      </c>
      <c r="I4" s="72" t="s">
        <v>288</v>
      </c>
      <c r="J4" s="69" t="s">
        <v>317</v>
      </c>
      <c r="K4" s="72" t="s">
        <v>288</v>
      </c>
      <c r="L4" s="69" t="s">
        <v>317</v>
      </c>
      <c r="M4" s="203"/>
      <c r="N4" s="203"/>
      <c r="O4" s="231"/>
      <c r="P4" s="2"/>
      <c r="Q4" s="2"/>
      <c r="R4" s="2"/>
      <c r="S4" s="2"/>
      <c r="T4" s="2"/>
      <c r="U4" s="2"/>
      <c r="V4" s="2"/>
      <c r="W4" s="2"/>
      <c r="X4" s="2"/>
      <c r="Y4" s="2"/>
      <c r="Z4" s="2"/>
      <c r="AA4" s="2"/>
      <c r="AB4" s="2"/>
    </row>
    <row r="5" spans="1:28" s="66" customFormat="1" ht="15.75" thickBot="1">
      <c r="A5" s="233"/>
      <c r="B5" s="201"/>
      <c r="C5" s="100" t="s">
        <v>305</v>
      </c>
      <c r="D5" s="77"/>
      <c r="E5" s="100" t="s">
        <v>305</v>
      </c>
      <c r="F5" s="77"/>
      <c r="G5" s="97" t="s">
        <v>305</v>
      </c>
      <c r="H5" s="103"/>
      <c r="I5" s="97" t="s">
        <v>305</v>
      </c>
      <c r="J5" s="106"/>
      <c r="K5" s="97" t="s">
        <v>305</v>
      </c>
      <c r="L5" s="106"/>
      <c r="M5" s="203"/>
      <c r="N5" s="203"/>
      <c r="O5" s="231"/>
      <c r="P5" s="2"/>
      <c r="Q5" s="2"/>
      <c r="R5" s="2"/>
      <c r="S5" s="2"/>
      <c r="T5" s="2"/>
      <c r="U5" s="2"/>
      <c r="V5" s="2"/>
      <c r="W5" s="2"/>
      <c r="X5" s="2"/>
      <c r="Y5" s="2"/>
      <c r="Z5" s="2"/>
      <c r="AA5" s="2"/>
      <c r="AB5" s="2"/>
    </row>
    <row r="6" spans="1:28" s="66" customFormat="1" ht="15.75" thickBot="1">
      <c r="A6" s="233"/>
      <c r="B6" s="201"/>
      <c r="C6" s="72" t="s">
        <v>288</v>
      </c>
      <c r="D6" s="69" t="s">
        <v>317</v>
      </c>
      <c r="E6" s="72" t="s">
        <v>288</v>
      </c>
      <c r="F6" s="69" t="s">
        <v>317</v>
      </c>
      <c r="G6" s="72" t="s">
        <v>288</v>
      </c>
      <c r="H6" s="69" t="s">
        <v>317</v>
      </c>
      <c r="I6" s="72" t="s">
        <v>288</v>
      </c>
      <c r="J6" s="69" t="s">
        <v>317</v>
      </c>
      <c r="K6" s="72" t="s">
        <v>288</v>
      </c>
      <c r="L6" s="69" t="s">
        <v>317</v>
      </c>
      <c r="M6" s="204"/>
      <c r="N6" s="204"/>
      <c r="O6" s="231"/>
      <c r="P6" s="2"/>
      <c r="Q6" s="2"/>
      <c r="R6" s="2"/>
      <c r="S6" s="2"/>
      <c r="T6" s="2"/>
      <c r="U6" s="2"/>
      <c r="V6" s="2"/>
      <c r="W6" s="2"/>
      <c r="X6" s="2"/>
      <c r="Y6" s="2"/>
      <c r="Z6" s="2"/>
      <c r="AA6" s="2"/>
      <c r="AB6" s="2"/>
    </row>
    <row r="7" spans="1:28" s="66" customFormat="1" ht="15.75" thickBot="1">
      <c r="A7" s="233"/>
      <c r="B7" s="201"/>
      <c r="C7" s="100" t="s">
        <v>305</v>
      </c>
      <c r="D7" s="99"/>
      <c r="E7" s="100" t="s">
        <v>305</v>
      </c>
      <c r="F7" s="99"/>
      <c r="G7" s="97" t="s">
        <v>305</v>
      </c>
      <c r="H7" s="103"/>
      <c r="I7" s="97" t="s">
        <v>305</v>
      </c>
      <c r="J7" s="106"/>
      <c r="K7" s="97" t="s">
        <v>305</v>
      </c>
      <c r="L7" s="106"/>
      <c r="M7" s="207" t="s">
        <v>305</v>
      </c>
      <c r="N7" s="208"/>
      <c r="O7" s="231"/>
      <c r="P7" s="2"/>
      <c r="Q7" s="2"/>
      <c r="R7" s="2"/>
      <c r="S7" s="2"/>
      <c r="T7" s="2"/>
      <c r="U7" s="2"/>
      <c r="V7" s="2"/>
      <c r="W7" s="2"/>
      <c r="X7" s="2"/>
      <c r="Y7" s="2"/>
      <c r="Z7" s="2"/>
      <c r="AA7" s="2"/>
      <c r="AB7" s="2"/>
    </row>
    <row r="8" spans="1:28" s="66" customFormat="1">
      <c r="A8" s="233"/>
      <c r="B8" s="201"/>
      <c r="C8" s="72" t="s">
        <v>288</v>
      </c>
      <c r="D8" s="69" t="s">
        <v>317</v>
      </c>
      <c r="E8" s="72" t="s">
        <v>288</v>
      </c>
      <c r="F8" s="69" t="s">
        <v>317</v>
      </c>
      <c r="G8" s="72" t="s">
        <v>288</v>
      </c>
      <c r="H8" s="69" t="s">
        <v>317</v>
      </c>
      <c r="I8" s="72" t="s">
        <v>288</v>
      </c>
      <c r="J8" s="69" t="s">
        <v>310</v>
      </c>
      <c r="K8" s="72" t="s">
        <v>288</v>
      </c>
      <c r="L8" s="69" t="s">
        <v>317</v>
      </c>
      <c r="M8" s="207"/>
      <c r="N8" s="208"/>
      <c r="O8" s="231"/>
      <c r="P8" s="2"/>
      <c r="Q8" s="2"/>
      <c r="R8" s="2"/>
      <c r="S8" s="2"/>
      <c r="T8" s="2"/>
      <c r="U8" s="2"/>
      <c r="V8" s="2"/>
      <c r="W8" s="2"/>
      <c r="X8" s="2"/>
      <c r="Y8" s="2"/>
      <c r="Z8" s="2"/>
      <c r="AA8" s="2"/>
      <c r="AB8" s="2"/>
    </row>
    <row r="9" spans="1:28" s="66" customFormat="1" ht="15.75" thickBot="1">
      <c r="A9" s="233"/>
      <c r="B9" s="201"/>
      <c r="C9" s="100" t="s">
        <v>305</v>
      </c>
      <c r="D9" s="99"/>
      <c r="E9" s="100" t="s">
        <v>305</v>
      </c>
      <c r="F9" s="99"/>
      <c r="G9" s="97" t="s">
        <v>305</v>
      </c>
      <c r="H9" s="106"/>
      <c r="I9" s="97" t="s">
        <v>305</v>
      </c>
      <c r="J9" s="106"/>
      <c r="K9" s="97" t="s">
        <v>305</v>
      </c>
      <c r="L9" s="106"/>
      <c r="M9" s="207"/>
      <c r="N9" s="208"/>
      <c r="O9" s="231"/>
      <c r="P9" s="2"/>
      <c r="Q9" s="2"/>
      <c r="R9" s="2"/>
      <c r="S9" s="2"/>
      <c r="T9" s="2"/>
      <c r="U9" s="2"/>
      <c r="V9" s="2"/>
      <c r="W9" s="2"/>
      <c r="X9" s="2"/>
      <c r="Y9" s="2"/>
      <c r="Z9" s="2"/>
      <c r="AA9" s="2"/>
      <c r="AB9" s="2"/>
    </row>
    <row r="10" spans="1:28" s="66" customFormat="1" ht="18" customHeight="1">
      <c r="A10" s="233"/>
      <c r="B10" s="201"/>
      <c r="C10" s="209" t="s">
        <v>306</v>
      </c>
      <c r="D10" s="196" t="e">
        <f>Смета_лит.Е!#REF!+Смета_лит.Е!#REF!+(Смета_лит.Е!#REF!/2)</f>
        <v>#REF!</v>
      </c>
      <c r="E10" s="209" t="s">
        <v>306</v>
      </c>
      <c r="F10" s="196" t="e">
        <f>D10*35%</f>
        <v>#REF!</v>
      </c>
      <c r="G10" s="104" t="s">
        <v>315</v>
      </c>
      <c r="H10" s="105" t="s">
        <v>5</v>
      </c>
      <c r="I10" s="98" t="s">
        <v>315</v>
      </c>
      <c r="J10" s="108" t="s">
        <v>6</v>
      </c>
      <c r="K10" s="98" t="s">
        <v>315</v>
      </c>
      <c r="L10" s="111" t="s">
        <v>299</v>
      </c>
      <c r="M10" s="207"/>
      <c r="N10" s="208"/>
      <c r="O10" s="231"/>
      <c r="P10" s="2"/>
      <c r="Q10" s="2"/>
      <c r="R10" s="2"/>
      <c r="S10" s="2"/>
      <c r="T10" s="2"/>
      <c r="U10" s="2"/>
      <c r="V10" s="2"/>
      <c r="W10" s="2"/>
      <c r="X10" s="2"/>
      <c r="Y10" s="2"/>
      <c r="Z10" s="2"/>
      <c r="AA10" s="2"/>
      <c r="AB10" s="2"/>
    </row>
    <row r="11" spans="1:28" s="66" customFormat="1" ht="15.75" thickBot="1">
      <c r="A11" s="233"/>
      <c r="B11" s="201"/>
      <c r="C11" s="210"/>
      <c r="D11" s="197"/>
      <c r="E11" s="210"/>
      <c r="F11" s="197"/>
      <c r="G11" s="107" t="s">
        <v>316</v>
      </c>
      <c r="H11" s="112">
        <v>63816</v>
      </c>
      <c r="I11" s="107" t="s">
        <v>316</v>
      </c>
      <c r="J11" s="113">
        <v>81825.600000000006</v>
      </c>
      <c r="K11" s="107" t="s">
        <v>316</v>
      </c>
      <c r="L11" s="113">
        <v>79382.399999999994</v>
      </c>
      <c r="M11" s="207"/>
      <c r="N11" s="208"/>
      <c r="O11" s="231"/>
      <c r="P11" s="2"/>
      <c r="Q11" s="2"/>
      <c r="R11" s="2"/>
      <c r="S11" s="2"/>
      <c r="T11" s="2"/>
      <c r="U11" s="2"/>
      <c r="V11" s="2"/>
      <c r="W11" s="2"/>
      <c r="X11" s="2"/>
      <c r="Y11" s="2"/>
      <c r="Z11" s="2"/>
      <c r="AA11" s="2"/>
      <c r="AB11" s="2"/>
    </row>
    <row r="12" spans="1:28" s="66" customFormat="1" ht="24" customHeight="1" thickBot="1">
      <c r="A12" s="193"/>
      <c r="B12" s="194"/>
      <c r="C12" s="194"/>
      <c r="D12" s="194"/>
      <c r="E12" s="194"/>
      <c r="F12" s="194"/>
      <c r="G12" s="194"/>
      <c r="H12" s="194"/>
      <c r="I12" s="194"/>
      <c r="J12" s="194"/>
      <c r="K12" s="194"/>
      <c r="L12" s="194"/>
      <c r="M12" s="194"/>
      <c r="N12" s="194"/>
      <c r="O12" s="195"/>
      <c r="P12" s="2"/>
      <c r="Q12" s="2"/>
      <c r="R12" s="2"/>
      <c r="S12" s="2"/>
      <c r="T12" s="2"/>
      <c r="U12" s="2"/>
      <c r="V12" s="2"/>
      <c r="W12" s="2"/>
      <c r="X12" s="2"/>
      <c r="Y12" s="2"/>
      <c r="Z12" s="2"/>
      <c r="AA12" s="2"/>
      <c r="AB12" s="2"/>
    </row>
    <row r="13" spans="1:28" s="66" customFormat="1">
      <c r="A13" s="198">
        <v>2</v>
      </c>
      <c r="B13" s="200" t="s">
        <v>300</v>
      </c>
      <c r="C13" s="72" t="s">
        <v>288</v>
      </c>
      <c r="D13" s="69" t="s">
        <v>317</v>
      </c>
      <c r="E13" s="72" t="s">
        <v>288</v>
      </c>
      <c r="F13" s="69" t="s">
        <v>317</v>
      </c>
      <c r="G13" s="72" t="s">
        <v>288</v>
      </c>
      <c r="H13" s="69" t="s">
        <v>302</v>
      </c>
      <c r="I13" s="72" t="s">
        <v>288</v>
      </c>
      <c r="J13" s="69" t="s">
        <v>302</v>
      </c>
      <c r="K13" s="72" t="s">
        <v>288</v>
      </c>
      <c r="L13" s="69" t="s">
        <v>302</v>
      </c>
      <c r="M13" s="202" t="s">
        <v>288</v>
      </c>
      <c r="N13" s="202" t="s">
        <v>320</v>
      </c>
      <c r="O13" s="241" t="s">
        <v>333</v>
      </c>
      <c r="P13" s="2"/>
      <c r="Q13" s="2"/>
      <c r="R13" s="2"/>
      <c r="S13" s="2"/>
      <c r="T13" s="2"/>
      <c r="U13" s="2"/>
      <c r="V13" s="2"/>
      <c r="W13" s="2"/>
      <c r="X13" s="2"/>
      <c r="Y13" s="2"/>
      <c r="Z13" s="2"/>
      <c r="AA13" s="2"/>
      <c r="AB13" s="2"/>
    </row>
    <row r="14" spans="1:28" s="66" customFormat="1" ht="15.75" thickBot="1">
      <c r="A14" s="199"/>
      <c r="B14" s="201"/>
      <c r="C14" s="78" t="s">
        <v>305</v>
      </c>
      <c r="D14" s="77"/>
      <c r="E14" s="78" t="s">
        <v>305</v>
      </c>
      <c r="F14" s="77"/>
      <c r="G14" s="97" t="s">
        <v>305</v>
      </c>
      <c r="H14" s="126">
        <v>44972</v>
      </c>
      <c r="I14" s="97" t="s">
        <v>305</v>
      </c>
      <c r="J14" s="127">
        <v>44972</v>
      </c>
      <c r="K14" s="97" t="s">
        <v>305</v>
      </c>
      <c r="L14" s="127">
        <v>44972</v>
      </c>
      <c r="M14" s="203"/>
      <c r="N14" s="203"/>
      <c r="O14" s="206"/>
      <c r="P14" s="2"/>
      <c r="Q14" s="2"/>
      <c r="R14" s="2"/>
      <c r="S14" s="2"/>
      <c r="T14" s="2"/>
      <c r="U14" s="2"/>
      <c r="V14" s="2"/>
      <c r="W14" s="2"/>
      <c r="X14" s="2"/>
      <c r="Y14" s="2"/>
      <c r="Z14" s="2"/>
      <c r="AA14" s="2"/>
      <c r="AB14" s="2"/>
    </row>
    <row r="15" spans="1:28" s="66" customFormat="1">
      <c r="A15" s="199"/>
      <c r="B15" s="201"/>
      <c r="C15" s="72" t="s">
        <v>288</v>
      </c>
      <c r="D15" s="69" t="s">
        <v>317</v>
      </c>
      <c r="E15" s="72" t="s">
        <v>288</v>
      </c>
      <c r="F15" s="69" t="s">
        <v>317</v>
      </c>
      <c r="G15" s="72" t="s">
        <v>288</v>
      </c>
      <c r="H15" s="69" t="s">
        <v>311</v>
      </c>
      <c r="I15" s="72" t="s">
        <v>288</v>
      </c>
      <c r="J15" s="69" t="s">
        <v>311</v>
      </c>
      <c r="K15" s="72" t="s">
        <v>288</v>
      </c>
      <c r="L15" s="69" t="s">
        <v>317</v>
      </c>
      <c r="M15" s="203"/>
      <c r="N15" s="203"/>
      <c r="O15" s="206"/>
      <c r="P15" s="2"/>
      <c r="Q15" s="2"/>
      <c r="R15" s="2"/>
      <c r="S15" s="2"/>
      <c r="T15" s="2"/>
      <c r="U15" s="2"/>
      <c r="V15" s="2"/>
      <c r="W15" s="2"/>
      <c r="X15" s="2"/>
      <c r="Y15" s="2"/>
      <c r="Z15" s="2"/>
      <c r="AA15" s="2"/>
      <c r="AB15" s="2"/>
    </row>
    <row r="16" spans="1:28" s="66" customFormat="1" ht="15.75" thickBot="1">
      <c r="A16" s="199"/>
      <c r="B16" s="201"/>
      <c r="C16" s="100" t="s">
        <v>305</v>
      </c>
      <c r="D16" s="77"/>
      <c r="E16" s="100" t="s">
        <v>305</v>
      </c>
      <c r="F16" s="77"/>
      <c r="G16" s="97" t="s">
        <v>305</v>
      </c>
      <c r="H16" s="129">
        <v>44973</v>
      </c>
      <c r="I16" s="97" t="s">
        <v>305</v>
      </c>
      <c r="J16" s="128">
        <v>44984</v>
      </c>
      <c r="K16" s="97" t="s">
        <v>305</v>
      </c>
      <c r="L16" s="106"/>
      <c r="M16" s="203"/>
      <c r="N16" s="203"/>
      <c r="O16" s="206"/>
      <c r="P16" s="2"/>
      <c r="Q16" s="2"/>
      <c r="R16" s="2"/>
      <c r="S16" s="2"/>
      <c r="T16" s="2"/>
      <c r="U16" s="2"/>
      <c r="V16" s="2"/>
      <c r="W16" s="2"/>
      <c r="X16" s="2"/>
      <c r="Y16" s="2"/>
      <c r="Z16" s="2"/>
      <c r="AA16" s="2"/>
      <c r="AB16" s="2"/>
    </row>
    <row r="17" spans="1:28" s="66" customFormat="1" ht="15.75" thickBot="1">
      <c r="A17" s="199"/>
      <c r="B17" s="201"/>
      <c r="C17" s="72" t="s">
        <v>288</v>
      </c>
      <c r="D17" s="69" t="s">
        <v>317</v>
      </c>
      <c r="E17" s="72" t="s">
        <v>288</v>
      </c>
      <c r="F17" s="69" t="s">
        <v>317</v>
      </c>
      <c r="G17" s="72" t="s">
        <v>288</v>
      </c>
      <c r="H17" s="69" t="s">
        <v>317</v>
      </c>
      <c r="I17" s="72" t="s">
        <v>288</v>
      </c>
      <c r="J17" s="69" t="s">
        <v>311</v>
      </c>
      <c r="K17" s="72" t="s">
        <v>288</v>
      </c>
      <c r="L17" s="69" t="s">
        <v>317</v>
      </c>
      <c r="M17" s="204"/>
      <c r="N17" s="204"/>
      <c r="O17" s="206"/>
      <c r="P17" s="2"/>
      <c r="Q17" s="2"/>
      <c r="R17" s="2"/>
      <c r="S17" s="2"/>
      <c r="T17" s="2"/>
      <c r="U17" s="2"/>
      <c r="V17" s="2"/>
      <c r="W17" s="2"/>
      <c r="X17" s="2"/>
      <c r="Y17" s="2"/>
      <c r="Z17" s="2"/>
      <c r="AA17" s="2"/>
      <c r="AB17" s="2"/>
    </row>
    <row r="18" spans="1:28" s="66" customFormat="1" ht="15.75" thickBot="1">
      <c r="A18" s="199"/>
      <c r="B18" s="201"/>
      <c r="C18" s="100" t="s">
        <v>305</v>
      </c>
      <c r="D18" s="99"/>
      <c r="E18" s="100" t="s">
        <v>305</v>
      </c>
      <c r="F18" s="99"/>
      <c r="G18" s="97" t="s">
        <v>305</v>
      </c>
      <c r="H18" s="129"/>
      <c r="I18" s="97" t="s">
        <v>305</v>
      </c>
      <c r="J18" s="106"/>
      <c r="K18" s="97" t="s">
        <v>305</v>
      </c>
      <c r="L18" s="106"/>
      <c r="M18" s="207" t="s">
        <v>305</v>
      </c>
      <c r="N18" s="208"/>
      <c r="O18" s="206"/>
      <c r="P18" s="2"/>
      <c r="Q18" s="2"/>
      <c r="R18" s="2"/>
      <c r="S18" s="2"/>
      <c r="T18" s="2"/>
      <c r="U18" s="2"/>
      <c r="V18" s="2"/>
      <c r="W18" s="2"/>
      <c r="X18" s="2"/>
      <c r="Y18" s="2"/>
      <c r="Z18" s="2"/>
      <c r="AA18" s="2"/>
      <c r="AB18" s="2"/>
    </row>
    <row r="19" spans="1:28" s="66" customFormat="1">
      <c r="A19" s="199"/>
      <c r="B19" s="201"/>
      <c r="C19" s="72" t="s">
        <v>288</v>
      </c>
      <c r="D19" s="69" t="s">
        <v>317</v>
      </c>
      <c r="E19" s="72" t="s">
        <v>288</v>
      </c>
      <c r="F19" s="69" t="s">
        <v>317</v>
      </c>
      <c r="G19" s="72" t="s">
        <v>288</v>
      </c>
      <c r="H19" s="69" t="s">
        <v>317</v>
      </c>
      <c r="I19" s="72" t="s">
        <v>288</v>
      </c>
      <c r="J19" s="69" t="s">
        <v>317</v>
      </c>
      <c r="K19" s="72" t="s">
        <v>288</v>
      </c>
      <c r="L19" s="69" t="s">
        <v>317</v>
      </c>
      <c r="M19" s="207"/>
      <c r="N19" s="208"/>
      <c r="O19" s="206"/>
      <c r="P19" s="2"/>
      <c r="Q19" s="2"/>
      <c r="R19" s="2"/>
      <c r="S19" s="2"/>
      <c r="T19" s="2"/>
      <c r="U19" s="2"/>
      <c r="V19" s="2"/>
      <c r="W19" s="2"/>
      <c r="X19" s="2"/>
      <c r="Y19" s="2"/>
      <c r="Z19" s="2"/>
      <c r="AA19" s="2"/>
      <c r="AB19" s="2"/>
    </row>
    <row r="20" spans="1:28" s="66" customFormat="1" ht="15.75" thickBot="1">
      <c r="A20" s="199"/>
      <c r="B20" s="201"/>
      <c r="C20" s="100" t="s">
        <v>305</v>
      </c>
      <c r="D20" s="99"/>
      <c r="E20" s="100" t="s">
        <v>305</v>
      </c>
      <c r="F20" s="99"/>
      <c r="G20" s="97" t="s">
        <v>305</v>
      </c>
      <c r="H20" s="106"/>
      <c r="I20" s="97" t="s">
        <v>305</v>
      </c>
      <c r="J20" s="106"/>
      <c r="K20" s="97" t="s">
        <v>305</v>
      </c>
      <c r="L20" s="106"/>
      <c r="M20" s="207"/>
      <c r="N20" s="208"/>
      <c r="O20" s="206"/>
      <c r="P20" s="2"/>
      <c r="Q20" s="2"/>
      <c r="R20" s="2"/>
      <c r="S20" s="2"/>
      <c r="T20" s="2"/>
      <c r="U20" s="2"/>
      <c r="V20" s="2"/>
      <c r="W20" s="2"/>
      <c r="X20" s="2"/>
      <c r="Y20" s="2"/>
      <c r="Z20" s="2"/>
      <c r="AA20" s="2"/>
      <c r="AB20" s="2"/>
    </row>
    <row r="21" spans="1:28" s="66" customFormat="1" ht="18" customHeight="1">
      <c r="A21" s="199"/>
      <c r="B21" s="201"/>
      <c r="C21" s="209" t="s">
        <v>306</v>
      </c>
      <c r="D21" s="196" t="e">
        <f>Смета_лит.Е!#REF!+Смета_лит.Е!#REF!+Смета_лит.Е!#REF!+Смета_лит.Е!#REF!+(Смета_лит.Е!#REF!/2)</f>
        <v>#REF!</v>
      </c>
      <c r="E21" s="209" t="s">
        <v>306</v>
      </c>
      <c r="F21" s="196" t="e">
        <f>D21*35%</f>
        <v>#REF!</v>
      </c>
      <c r="G21" s="104" t="s">
        <v>315</v>
      </c>
      <c r="H21" s="105" t="s">
        <v>5</v>
      </c>
      <c r="I21" s="98" t="s">
        <v>315</v>
      </c>
      <c r="J21" s="110" t="s">
        <v>301</v>
      </c>
      <c r="K21" s="98" t="s">
        <v>315</v>
      </c>
      <c r="L21" s="101" t="s">
        <v>6</v>
      </c>
      <c r="M21" s="207"/>
      <c r="N21" s="208"/>
      <c r="O21" s="206"/>
      <c r="P21" s="2"/>
      <c r="Q21" s="2"/>
      <c r="R21" s="2"/>
      <c r="S21" s="2"/>
      <c r="T21" s="2"/>
      <c r="U21" s="2"/>
      <c r="V21" s="2"/>
      <c r="W21" s="2"/>
      <c r="X21" s="2"/>
      <c r="Y21" s="2"/>
      <c r="Z21" s="2"/>
      <c r="AA21" s="2"/>
      <c r="AB21" s="2"/>
    </row>
    <row r="22" spans="1:28" s="66" customFormat="1" ht="15.75" thickBot="1">
      <c r="A22" s="199"/>
      <c r="B22" s="201"/>
      <c r="C22" s="210"/>
      <c r="D22" s="197"/>
      <c r="E22" s="210"/>
      <c r="F22" s="197"/>
      <c r="G22" s="107" t="s">
        <v>316</v>
      </c>
      <c r="H22" s="76">
        <v>80221</v>
      </c>
      <c r="I22" s="107" t="s">
        <v>316</v>
      </c>
      <c r="J22" s="115">
        <v>73965</v>
      </c>
      <c r="K22" s="107" t="s">
        <v>316</v>
      </c>
      <c r="L22" s="76">
        <v>90318</v>
      </c>
      <c r="M22" s="207"/>
      <c r="N22" s="208"/>
      <c r="O22" s="206"/>
      <c r="P22" s="2"/>
      <c r="Q22" s="2"/>
      <c r="R22" s="2"/>
      <c r="S22" s="2"/>
      <c r="T22" s="2"/>
      <c r="U22" s="2"/>
      <c r="V22" s="2"/>
      <c r="W22" s="2"/>
      <c r="X22" s="2"/>
      <c r="Y22" s="2"/>
      <c r="Z22" s="2"/>
      <c r="AA22" s="2"/>
      <c r="AB22" s="2"/>
    </row>
    <row r="23" spans="1:28" s="66" customFormat="1" ht="22.5" customHeight="1" thickBot="1">
      <c r="A23" s="219"/>
      <c r="B23" s="220"/>
      <c r="C23" s="220"/>
      <c r="D23" s="220"/>
      <c r="E23" s="220"/>
      <c r="F23" s="220"/>
      <c r="G23" s="220"/>
      <c r="H23" s="220"/>
      <c r="I23" s="220"/>
      <c r="J23" s="220"/>
      <c r="K23" s="220"/>
      <c r="L23" s="220"/>
      <c r="M23" s="220"/>
      <c r="N23" s="220"/>
      <c r="O23" s="221"/>
      <c r="P23" s="2"/>
      <c r="Q23" s="2"/>
      <c r="R23" s="2"/>
      <c r="S23" s="2"/>
      <c r="T23" s="2"/>
      <c r="U23" s="2"/>
      <c r="V23" s="2"/>
      <c r="W23" s="2"/>
      <c r="X23" s="2"/>
      <c r="Y23" s="2"/>
      <c r="Z23" s="2"/>
      <c r="AA23" s="2"/>
      <c r="AB23" s="2"/>
    </row>
    <row r="24" spans="1:28" s="66" customFormat="1">
      <c r="A24" s="198">
        <v>3</v>
      </c>
      <c r="B24" s="229" t="s">
        <v>358</v>
      </c>
      <c r="C24" s="72" t="s">
        <v>288</v>
      </c>
      <c r="D24" s="69" t="s">
        <v>317</v>
      </c>
      <c r="E24" s="72" t="s">
        <v>288</v>
      </c>
      <c r="F24" s="69" t="s">
        <v>317</v>
      </c>
      <c r="G24" s="72" t="s">
        <v>288</v>
      </c>
      <c r="H24" s="69" t="s">
        <v>317</v>
      </c>
      <c r="I24" s="72" t="s">
        <v>288</v>
      </c>
      <c r="J24" s="69" t="s">
        <v>317</v>
      </c>
      <c r="K24" s="72" t="s">
        <v>288</v>
      </c>
      <c r="L24" s="69" t="s">
        <v>317</v>
      </c>
      <c r="M24" s="202" t="s">
        <v>288</v>
      </c>
      <c r="N24" s="202" t="s">
        <v>320</v>
      </c>
      <c r="O24" s="205"/>
      <c r="P24" s="2"/>
      <c r="Q24" s="2"/>
      <c r="R24" s="2"/>
      <c r="S24" s="2"/>
      <c r="T24" s="2"/>
      <c r="U24" s="2"/>
      <c r="V24" s="2"/>
      <c r="W24" s="2"/>
      <c r="X24" s="2"/>
      <c r="Y24" s="2"/>
      <c r="Z24" s="2"/>
      <c r="AA24" s="2"/>
      <c r="AB24" s="2"/>
    </row>
    <row r="25" spans="1:28" s="66" customFormat="1" ht="15.75" thickBot="1">
      <c r="A25" s="199"/>
      <c r="B25" s="201"/>
      <c r="C25" s="78" t="s">
        <v>305</v>
      </c>
      <c r="D25" s="77"/>
      <c r="E25" s="78" t="s">
        <v>305</v>
      </c>
      <c r="F25" s="77"/>
      <c r="G25" s="97" t="s">
        <v>305</v>
      </c>
      <c r="H25" s="102"/>
      <c r="I25" s="97" t="s">
        <v>305</v>
      </c>
      <c r="J25" s="109"/>
      <c r="K25" s="97" t="s">
        <v>305</v>
      </c>
      <c r="L25" s="109"/>
      <c r="M25" s="203"/>
      <c r="N25" s="203"/>
      <c r="O25" s="206"/>
      <c r="P25" s="2"/>
      <c r="Q25" s="2"/>
      <c r="R25" s="2"/>
      <c r="S25" s="2"/>
      <c r="T25" s="2"/>
      <c r="U25" s="2"/>
      <c r="V25" s="2"/>
      <c r="W25" s="2"/>
      <c r="X25" s="2"/>
      <c r="Y25" s="2"/>
      <c r="Z25" s="2"/>
      <c r="AA25" s="2"/>
      <c r="AB25" s="2"/>
    </row>
    <row r="26" spans="1:28" s="66" customFormat="1">
      <c r="A26" s="199"/>
      <c r="B26" s="201"/>
      <c r="C26" s="72" t="s">
        <v>288</v>
      </c>
      <c r="D26" s="69" t="s">
        <v>317</v>
      </c>
      <c r="E26" s="72" t="s">
        <v>288</v>
      </c>
      <c r="F26" s="69" t="s">
        <v>317</v>
      </c>
      <c r="G26" s="72" t="s">
        <v>288</v>
      </c>
      <c r="H26" s="69" t="s">
        <v>317</v>
      </c>
      <c r="I26" s="72" t="s">
        <v>288</v>
      </c>
      <c r="J26" s="69" t="s">
        <v>317</v>
      </c>
      <c r="K26" s="72" t="s">
        <v>288</v>
      </c>
      <c r="L26" s="69" t="s">
        <v>317</v>
      </c>
      <c r="M26" s="203"/>
      <c r="N26" s="203"/>
      <c r="O26" s="206"/>
      <c r="P26" s="2"/>
      <c r="Q26" s="2"/>
      <c r="R26" s="2"/>
      <c r="S26" s="2"/>
      <c r="T26" s="2"/>
      <c r="U26" s="2"/>
      <c r="V26" s="2"/>
      <c r="W26" s="2"/>
      <c r="X26" s="2"/>
      <c r="Y26" s="2"/>
      <c r="Z26" s="2"/>
      <c r="AA26" s="2"/>
      <c r="AB26" s="2"/>
    </row>
    <row r="27" spans="1:28" s="66" customFormat="1" ht="15.75" thickBot="1">
      <c r="A27" s="199"/>
      <c r="B27" s="201"/>
      <c r="C27" s="100" t="s">
        <v>305</v>
      </c>
      <c r="D27" s="77"/>
      <c r="E27" s="100" t="s">
        <v>305</v>
      </c>
      <c r="F27" s="77"/>
      <c r="G27" s="97" t="s">
        <v>305</v>
      </c>
      <c r="H27" s="103"/>
      <c r="I27" s="97" t="s">
        <v>305</v>
      </c>
      <c r="J27" s="106"/>
      <c r="K27" s="97" t="s">
        <v>305</v>
      </c>
      <c r="L27" s="106"/>
      <c r="M27" s="203"/>
      <c r="N27" s="203"/>
      <c r="O27" s="206"/>
      <c r="P27" s="2"/>
      <c r="Q27" s="2"/>
      <c r="R27" s="2"/>
      <c r="S27" s="2"/>
      <c r="T27" s="2"/>
      <c r="U27" s="2"/>
      <c r="V27" s="2"/>
      <c r="W27" s="2"/>
      <c r="X27" s="2"/>
      <c r="Y27" s="2"/>
      <c r="Z27" s="2"/>
      <c r="AA27" s="2"/>
      <c r="AB27" s="2"/>
    </row>
    <row r="28" spans="1:28" s="66" customFormat="1" ht="15.75" thickBot="1">
      <c r="A28" s="199"/>
      <c r="B28" s="201"/>
      <c r="C28" s="72" t="s">
        <v>288</v>
      </c>
      <c r="D28" s="69" t="s">
        <v>317</v>
      </c>
      <c r="E28" s="72" t="s">
        <v>288</v>
      </c>
      <c r="F28" s="69" t="s">
        <v>317</v>
      </c>
      <c r="G28" s="72" t="s">
        <v>288</v>
      </c>
      <c r="H28" s="69" t="s">
        <v>317</v>
      </c>
      <c r="I28" s="72" t="s">
        <v>288</v>
      </c>
      <c r="J28" s="69" t="s">
        <v>317</v>
      </c>
      <c r="K28" s="72" t="s">
        <v>288</v>
      </c>
      <c r="L28" s="69" t="s">
        <v>317</v>
      </c>
      <c r="M28" s="204"/>
      <c r="N28" s="204"/>
      <c r="O28" s="206"/>
      <c r="P28" s="2"/>
      <c r="Q28" s="2"/>
      <c r="R28" s="2"/>
      <c r="S28" s="2"/>
      <c r="T28" s="2"/>
      <c r="U28" s="2"/>
      <c r="V28" s="2"/>
      <c r="W28" s="2"/>
      <c r="X28" s="2"/>
      <c r="Y28" s="2"/>
      <c r="Z28" s="2"/>
      <c r="AA28" s="2"/>
      <c r="AB28" s="2"/>
    </row>
    <row r="29" spans="1:28" s="66" customFormat="1" ht="15.75" thickBot="1">
      <c r="A29" s="199"/>
      <c r="B29" s="201"/>
      <c r="C29" s="100" t="s">
        <v>305</v>
      </c>
      <c r="D29" s="99"/>
      <c r="E29" s="100" t="s">
        <v>305</v>
      </c>
      <c r="F29" s="99"/>
      <c r="G29" s="97" t="s">
        <v>305</v>
      </c>
      <c r="H29" s="103"/>
      <c r="I29" s="97" t="s">
        <v>305</v>
      </c>
      <c r="J29" s="106"/>
      <c r="K29" s="97" t="s">
        <v>305</v>
      </c>
      <c r="L29" s="106"/>
      <c r="M29" s="207" t="s">
        <v>305</v>
      </c>
      <c r="N29" s="208"/>
      <c r="O29" s="206"/>
      <c r="P29" s="2"/>
      <c r="Q29" s="2"/>
      <c r="R29" s="2"/>
      <c r="S29" s="2"/>
      <c r="T29" s="2"/>
      <c r="U29" s="2"/>
      <c r="V29" s="2"/>
      <c r="W29" s="2"/>
      <c r="X29" s="2"/>
      <c r="Y29" s="2"/>
      <c r="Z29" s="2"/>
      <c r="AA29" s="2"/>
      <c r="AB29" s="2"/>
    </row>
    <row r="30" spans="1:28" s="66" customFormat="1">
      <c r="A30" s="199"/>
      <c r="B30" s="201"/>
      <c r="C30" s="72" t="s">
        <v>288</v>
      </c>
      <c r="D30" s="69" t="s">
        <v>317</v>
      </c>
      <c r="E30" s="72" t="s">
        <v>288</v>
      </c>
      <c r="F30" s="69" t="s">
        <v>317</v>
      </c>
      <c r="G30" s="72" t="s">
        <v>288</v>
      </c>
      <c r="H30" s="69" t="s">
        <v>317</v>
      </c>
      <c r="I30" s="72" t="s">
        <v>288</v>
      </c>
      <c r="J30" s="69" t="s">
        <v>310</v>
      </c>
      <c r="K30" s="72" t="s">
        <v>288</v>
      </c>
      <c r="L30" s="69" t="s">
        <v>317</v>
      </c>
      <c r="M30" s="207"/>
      <c r="N30" s="208"/>
      <c r="O30" s="206"/>
      <c r="P30" s="2"/>
      <c r="Q30" s="2"/>
      <c r="R30" s="2"/>
      <c r="S30" s="2"/>
      <c r="T30" s="2"/>
      <c r="U30" s="2"/>
      <c r="V30" s="2"/>
      <c r="W30" s="2"/>
      <c r="X30" s="2"/>
      <c r="Y30" s="2"/>
      <c r="Z30" s="2"/>
      <c r="AA30" s="2"/>
      <c r="AB30" s="2"/>
    </row>
    <row r="31" spans="1:28" s="66" customFormat="1" ht="15.75" thickBot="1">
      <c r="A31" s="199"/>
      <c r="B31" s="201"/>
      <c r="C31" s="100" t="s">
        <v>305</v>
      </c>
      <c r="D31" s="99"/>
      <c r="E31" s="100" t="s">
        <v>305</v>
      </c>
      <c r="F31" s="99"/>
      <c r="G31" s="97" t="s">
        <v>305</v>
      </c>
      <c r="H31" s="106"/>
      <c r="I31" s="97" t="s">
        <v>305</v>
      </c>
      <c r="J31" s="106"/>
      <c r="K31" s="97" t="s">
        <v>305</v>
      </c>
      <c r="L31" s="106"/>
      <c r="M31" s="207"/>
      <c r="N31" s="208"/>
      <c r="O31" s="206"/>
      <c r="P31" s="2"/>
      <c r="Q31" s="2"/>
      <c r="R31" s="2"/>
      <c r="S31" s="2"/>
      <c r="T31" s="2"/>
      <c r="U31" s="2"/>
      <c r="V31" s="2"/>
      <c r="W31" s="2"/>
      <c r="X31" s="2"/>
      <c r="Y31" s="2"/>
      <c r="Z31" s="2"/>
      <c r="AA31" s="2"/>
      <c r="AB31" s="2"/>
    </row>
    <row r="32" spans="1:28" s="66" customFormat="1" ht="18" customHeight="1">
      <c r="A32" s="199"/>
      <c r="B32" s="201"/>
      <c r="C32" s="209" t="s">
        <v>306</v>
      </c>
      <c r="D32" s="196">
        <v>130000</v>
      </c>
      <c r="E32" s="209" t="s">
        <v>306</v>
      </c>
      <c r="F32" s="196">
        <f>D32*35%</f>
        <v>45500</v>
      </c>
      <c r="G32" s="104" t="s">
        <v>315</v>
      </c>
      <c r="H32" s="105" t="s">
        <v>5</v>
      </c>
      <c r="I32" s="98" t="s">
        <v>315</v>
      </c>
      <c r="J32" s="101" t="s">
        <v>6</v>
      </c>
      <c r="K32" s="98" t="s">
        <v>315</v>
      </c>
      <c r="L32" s="185" t="s">
        <v>335</v>
      </c>
      <c r="M32" s="207"/>
      <c r="N32" s="208"/>
      <c r="O32" s="206"/>
      <c r="P32" s="2"/>
      <c r="Q32" s="2"/>
      <c r="R32" s="2"/>
      <c r="S32" s="2"/>
      <c r="T32" s="2"/>
      <c r="U32" s="2"/>
      <c r="V32" s="2"/>
      <c r="W32" s="2"/>
      <c r="X32" s="2"/>
      <c r="Y32" s="2"/>
      <c r="Z32" s="2"/>
      <c r="AA32" s="2"/>
      <c r="AB32" s="2"/>
    </row>
    <row r="33" spans="1:28" s="66" customFormat="1" ht="15.75" thickBot="1">
      <c r="A33" s="199"/>
      <c r="B33" s="201"/>
      <c r="C33" s="210"/>
      <c r="D33" s="197"/>
      <c r="E33" s="210"/>
      <c r="F33" s="197"/>
      <c r="G33" s="107" t="s">
        <v>316</v>
      </c>
      <c r="H33" s="75">
        <v>66000</v>
      </c>
      <c r="I33" s="107" t="s">
        <v>316</v>
      </c>
      <c r="J33" s="186">
        <v>75120</v>
      </c>
      <c r="K33" s="107" t="s">
        <v>316</v>
      </c>
      <c r="L33" s="114">
        <v>94560</v>
      </c>
      <c r="M33" s="207"/>
      <c r="N33" s="208"/>
      <c r="O33" s="206"/>
      <c r="P33" s="2"/>
      <c r="Q33" s="2"/>
      <c r="R33" s="2"/>
      <c r="S33" s="2"/>
      <c r="T33" s="2"/>
      <c r="U33" s="2"/>
      <c r="V33" s="2"/>
      <c r="W33" s="2"/>
      <c r="X33" s="2"/>
      <c r="Y33" s="2"/>
      <c r="Z33" s="2"/>
      <c r="AA33" s="2"/>
      <c r="AB33" s="2"/>
    </row>
    <row r="34" spans="1:28" s="66" customFormat="1" ht="22.5" customHeight="1" thickBot="1">
      <c r="A34" s="219"/>
      <c r="B34" s="220"/>
      <c r="C34" s="220"/>
      <c r="D34" s="220"/>
      <c r="E34" s="220"/>
      <c r="F34" s="220"/>
      <c r="G34" s="220"/>
      <c r="H34" s="220"/>
      <c r="I34" s="220"/>
      <c r="J34" s="220"/>
      <c r="K34" s="220"/>
      <c r="L34" s="220"/>
      <c r="M34" s="220"/>
      <c r="N34" s="220"/>
      <c r="O34" s="221"/>
      <c r="P34" s="2"/>
      <c r="Q34" s="2"/>
      <c r="R34" s="2"/>
      <c r="S34" s="2"/>
      <c r="T34" s="2"/>
      <c r="U34" s="2"/>
      <c r="V34" s="2"/>
      <c r="W34" s="2"/>
      <c r="X34" s="2"/>
      <c r="Y34" s="2"/>
      <c r="Z34" s="2"/>
      <c r="AA34" s="2"/>
      <c r="AB34" s="2"/>
    </row>
    <row r="35" spans="1:28" s="66" customFormat="1">
      <c r="A35" s="198">
        <v>4</v>
      </c>
      <c r="B35" s="200" t="s">
        <v>7</v>
      </c>
      <c r="C35" s="72" t="s">
        <v>288</v>
      </c>
      <c r="D35" s="69" t="s">
        <v>317</v>
      </c>
      <c r="E35" s="72" t="s">
        <v>288</v>
      </c>
      <c r="F35" s="69" t="s">
        <v>317</v>
      </c>
      <c r="G35" s="72" t="s">
        <v>288</v>
      </c>
      <c r="H35" s="69" t="s">
        <v>317</v>
      </c>
      <c r="I35" s="72" t="s">
        <v>288</v>
      </c>
      <c r="J35" s="69" t="s">
        <v>317</v>
      </c>
      <c r="K35" s="72" t="s">
        <v>288</v>
      </c>
      <c r="L35" s="69" t="s">
        <v>317</v>
      </c>
      <c r="M35" s="202" t="s">
        <v>288</v>
      </c>
      <c r="N35" s="202" t="s">
        <v>320</v>
      </c>
      <c r="O35" s="205"/>
      <c r="P35" s="2"/>
      <c r="Q35" s="2"/>
      <c r="R35" s="2"/>
      <c r="S35" s="2"/>
      <c r="T35" s="2"/>
      <c r="U35" s="2"/>
      <c r="V35" s="2"/>
      <c r="W35" s="2"/>
      <c r="X35" s="2"/>
      <c r="Y35" s="2"/>
      <c r="Z35" s="2"/>
      <c r="AA35" s="2"/>
      <c r="AB35" s="2"/>
    </row>
    <row r="36" spans="1:28" s="66" customFormat="1" ht="15.75" thickBot="1">
      <c r="A36" s="199"/>
      <c r="B36" s="201"/>
      <c r="C36" s="78" t="s">
        <v>305</v>
      </c>
      <c r="D36" s="77"/>
      <c r="E36" s="78" t="s">
        <v>305</v>
      </c>
      <c r="F36" s="77"/>
      <c r="G36" s="97" t="s">
        <v>305</v>
      </c>
      <c r="H36" s="102"/>
      <c r="I36" s="97" t="s">
        <v>305</v>
      </c>
      <c r="J36" s="109"/>
      <c r="K36" s="97" t="s">
        <v>305</v>
      </c>
      <c r="L36" s="109"/>
      <c r="M36" s="203"/>
      <c r="N36" s="203"/>
      <c r="O36" s="206"/>
      <c r="P36" s="2"/>
      <c r="Q36" s="2"/>
      <c r="R36" s="2"/>
      <c r="S36" s="2"/>
      <c r="T36" s="2"/>
      <c r="U36" s="2"/>
      <c r="V36" s="2"/>
      <c r="W36" s="2"/>
      <c r="X36" s="2"/>
      <c r="Y36" s="2"/>
      <c r="Z36" s="2"/>
      <c r="AA36" s="2"/>
      <c r="AB36" s="2"/>
    </row>
    <row r="37" spans="1:28" s="66" customFormat="1">
      <c r="A37" s="199"/>
      <c r="B37" s="201"/>
      <c r="C37" s="72" t="s">
        <v>288</v>
      </c>
      <c r="D37" s="69" t="s">
        <v>317</v>
      </c>
      <c r="E37" s="72" t="s">
        <v>288</v>
      </c>
      <c r="F37" s="69" t="s">
        <v>317</v>
      </c>
      <c r="G37" s="72" t="s">
        <v>288</v>
      </c>
      <c r="H37" s="69" t="s">
        <v>317</v>
      </c>
      <c r="I37" s="72" t="s">
        <v>288</v>
      </c>
      <c r="J37" s="69" t="s">
        <v>317</v>
      </c>
      <c r="K37" s="72" t="s">
        <v>288</v>
      </c>
      <c r="L37" s="69" t="s">
        <v>317</v>
      </c>
      <c r="M37" s="203"/>
      <c r="N37" s="203"/>
      <c r="O37" s="206"/>
      <c r="P37" s="2"/>
      <c r="Q37" s="2"/>
      <c r="R37" s="2"/>
      <c r="S37" s="2"/>
      <c r="T37" s="2"/>
      <c r="U37" s="2"/>
      <c r="V37" s="2"/>
      <c r="W37" s="2"/>
      <c r="X37" s="2"/>
      <c r="Y37" s="2"/>
      <c r="Z37" s="2"/>
      <c r="AA37" s="2"/>
      <c r="AB37" s="2"/>
    </row>
    <row r="38" spans="1:28" s="66" customFormat="1" ht="15.75" thickBot="1">
      <c r="A38" s="199"/>
      <c r="B38" s="201"/>
      <c r="C38" s="100" t="s">
        <v>305</v>
      </c>
      <c r="D38" s="77"/>
      <c r="E38" s="100" t="s">
        <v>305</v>
      </c>
      <c r="F38" s="77"/>
      <c r="G38" s="97" t="s">
        <v>305</v>
      </c>
      <c r="H38" s="103"/>
      <c r="I38" s="97" t="s">
        <v>305</v>
      </c>
      <c r="J38" s="106"/>
      <c r="K38" s="97" t="s">
        <v>305</v>
      </c>
      <c r="L38" s="106"/>
      <c r="M38" s="203"/>
      <c r="N38" s="203"/>
      <c r="O38" s="206"/>
      <c r="P38" s="2"/>
      <c r="Q38" s="2"/>
      <c r="R38" s="2"/>
      <c r="S38" s="2"/>
      <c r="T38" s="2"/>
      <c r="U38" s="2"/>
      <c r="V38" s="2"/>
      <c r="W38" s="2"/>
      <c r="X38" s="2"/>
      <c r="Y38" s="2"/>
      <c r="Z38" s="2"/>
      <c r="AA38" s="2"/>
      <c r="AB38" s="2"/>
    </row>
    <row r="39" spans="1:28" s="66" customFormat="1" ht="15.75" thickBot="1">
      <c r="A39" s="199"/>
      <c r="B39" s="201"/>
      <c r="C39" s="72" t="s">
        <v>288</v>
      </c>
      <c r="D39" s="69" t="s">
        <v>317</v>
      </c>
      <c r="E39" s="72" t="s">
        <v>288</v>
      </c>
      <c r="F39" s="69" t="s">
        <v>317</v>
      </c>
      <c r="G39" s="72" t="s">
        <v>288</v>
      </c>
      <c r="H39" s="69" t="s">
        <v>317</v>
      </c>
      <c r="I39" s="72" t="s">
        <v>288</v>
      </c>
      <c r="J39" s="69" t="s">
        <v>317</v>
      </c>
      <c r="K39" s="72" t="s">
        <v>288</v>
      </c>
      <c r="L39" s="69" t="s">
        <v>317</v>
      </c>
      <c r="M39" s="204"/>
      <c r="N39" s="204"/>
      <c r="O39" s="206"/>
      <c r="P39" s="2"/>
      <c r="Q39" s="2"/>
      <c r="R39" s="2"/>
      <c r="S39" s="2"/>
      <c r="T39" s="2"/>
      <c r="U39" s="2"/>
      <c r="V39" s="2"/>
      <c r="W39" s="2"/>
      <c r="X39" s="2"/>
      <c r="Y39" s="2"/>
      <c r="Z39" s="2"/>
      <c r="AA39" s="2"/>
      <c r="AB39" s="2"/>
    </row>
    <row r="40" spans="1:28" s="66" customFormat="1" ht="15.75" thickBot="1">
      <c r="A40" s="199"/>
      <c r="B40" s="201"/>
      <c r="C40" s="100" t="s">
        <v>305</v>
      </c>
      <c r="D40" s="99"/>
      <c r="E40" s="100" t="s">
        <v>305</v>
      </c>
      <c r="F40" s="99"/>
      <c r="G40" s="97" t="s">
        <v>305</v>
      </c>
      <c r="H40" s="103"/>
      <c r="I40" s="97" t="s">
        <v>305</v>
      </c>
      <c r="J40" s="106"/>
      <c r="K40" s="97" t="s">
        <v>305</v>
      </c>
      <c r="L40" s="106"/>
      <c r="M40" s="207" t="s">
        <v>305</v>
      </c>
      <c r="N40" s="208"/>
      <c r="O40" s="206"/>
      <c r="P40" s="2"/>
      <c r="Q40" s="2"/>
      <c r="R40" s="2"/>
      <c r="S40" s="2"/>
      <c r="T40" s="2"/>
      <c r="U40" s="2"/>
      <c r="V40" s="2"/>
      <c r="W40" s="2"/>
      <c r="X40" s="2"/>
      <c r="Y40" s="2"/>
      <c r="Z40" s="2"/>
      <c r="AA40" s="2"/>
      <c r="AB40" s="2"/>
    </row>
    <row r="41" spans="1:28" s="66" customFormat="1">
      <c r="A41" s="199"/>
      <c r="B41" s="201"/>
      <c r="C41" s="72" t="s">
        <v>288</v>
      </c>
      <c r="D41" s="69" t="s">
        <v>317</v>
      </c>
      <c r="E41" s="72" t="s">
        <v>288</v>
      </c>
      <c r="F41" s="69" t="s">
        <v>317</v>
      </c>
      <c r="G41" s="72" t="s">
        <v>288</v>
      </c>
      <c r="H41" s="69" t="s">
        <v>317</v>
      </c>
      <c r="I41" s="72" t="s">
        <v>288</v>
      </c>
      <c r="J41" s="69" t="s">
        <v>310</v>
      </c>
      <c r="K41" s="72" t="s">
        <v>288</v>
      </c>
      <c r="L41" s="69" t="s">
        <v>317</v>
      </c>
      <c r="M41" s="207"/>
      <c r="N41" s="208"/>
      <c r="O41" s="206"/>
      <c r="P41" s="2"/>
      <c r="Q41" s="2"/>
      <c r="R41" s="2"/>
      <c r="S41" s="2"/>
      <c r="T41" s="2"/>
      <c r="U41" s="2"/>
      <c r="V41" s="2"/>
      <c r="W41" s="2"/>
      <c r="X41" s="2"/>
      <c r="Y41" s="2"/>
      <c r="Z41" s="2"/>
      <c r="AA41" s="2"/>
      <c r="AB41" s="2"/>
    </row>
    <row r="42" spans="1:28" s="66" customFormat="1" ht="15.75" thickBot="1">
      <c r="A42" s="199"/>
      <c r="B42" s="201"/>
      <c r="C42" s="100" t="s">
        <v>305</v>
      </c>
      <c r="D42" s="99"/>
      <c r="E42" s="100" t="s">
        <v>305</v>
      </c>
      <c r="F42" s="99"/>
      <c r="G42" s="97" t="s">
        <v>305</v>
      </c>
      <c r="H42" s="106"/>
      <c r="I42" s="97" t="s">
        <v>305</v>
      </c>
      <c r="J42" s="106"/>
      <c r="K42" s="97" t="s">
        <v>305</v>
      </c>
      <c r="L42" s="106"/>
      <c r="M42" s="207"/>
      <c r="N42" s="208"/>
      <c r="O42" s="206"/>
      <c r="P42" s="2"/>
      <c r="Q42" s="2"/>
      <c r="R42" s="2"/>
      <c r="S42" s="2"/>
      <c r="T42" s="2"/>
      <c r="U42" s="2"/>
      <c r="V42" s="2"/>
      <c r="W42" s="2"/>
      <c r="X42" s="2"/>
      <c r="Y42" s="2"/>
      <c r="Z42" s="2"/>
      <c r="AA42" s="2"/>
      <c r="AB42" s="2"/>
    </row>
    <row r="43" spans="1:28" s="66" customFormat="1" ht="18" customHeight="1">
      <c r="A43" s="199"/>
      <c r="B43" s="201"/>
      <c r="C43" s="209" t="s">
        <v>306</v>
      </c>
      <c r="D43" s="196"/>
      <c r="E43" s="209" t="s">
        <v>306</v>
      </c>
      <c r="F43" s="196">
        <f>D43*35%</f>
        <v>0</v>
      </c>
      <c r="G43" s="104" t="s">
        <v>315</v>
      </c>
      <c r="H43" s="105" t="s">
        <v>5</v>
      </c>
      <c r="I43" s="98" t="s">
        <v>315</v>
      </c>
      <c r="J43" s="101" t="s">
        <v>6</v>
      </c>
      <c r="K43" s="98" t="s">
        <v>315</v>
      </c>
      <c r="L43" s="81" t="s">
        <v>285</v>
      </c>
      <c r="M43" s="207"/>
      <c r="N43" s="208"/>
      <c r="O43" s="206"/>
      <c r="P43" s="2"/>
      <c r="Q43" s="2"/>
      <c r="R43" s="2"/>
      <c r="S43" s="2"/>
      <c r="T43" s="2"/>
      <c r="U43" s="2"/>
      <c r="V43" s="2"/>
      <c r="W43" s="2"/>
      <c r="X43" s="2"/>
      <c r="Y43" s="2"/>
      <c r="Z43" s="2"/>
      <c r="AA43" s="2"/>
      <c r="AB43" s="2"/>
    </row>
    <row r="44" spans="1:28" s="66" customFormat="1" ht="15.75" thickBot="1">
      <c r="A44" s="222"/>
      <c r="B44" s="223"/>
      <c r="C44" s="215"/>
      <c r="D44" s="216"/>
      <c r="E44" s="215"/>
      <c r="F44" s="216"/>
      <c r="G44" s="97" t="s">
        <v>316</v>
      </c>
      <c r="H44" s="79">
        <v>65628</v>
      </c>
      <c r="I44" s="97" t="s">
        <v>316</v>
      </c>
      <c r="J44" s="74">
        <v>74364</v>
      </c>
      <c r="K44" s="97" t="s">
        <v>316</v>
      </c>
      <c r="L44" s="74">
        <v>70056</v>
      </c>
      <c r="M44" s="225"/>
      <c r="N44" s="226"/>
      <c r="O44" s="224"/>
      <c r="P44" s="2"/>
      <c r="Q44" s="2"/>
      <c r="R44" s="2"/>
      <c r="S44" s="2"/>
      <c r="T44" s="2"/>
      <c r="U44" s="2"/>
      <c r="V44" s="2"/>
      <c r="W44" s="2"/>
      <c r="X44" s="2"/>
      <c r="Y44" s="2"/>
      <c r="Z44" s="2"/>
      <c r="AA44" s="2"/>
      <c r="AB44" s="2"/>
    </row>
    <row r="45" spans="1:28" s="66" customFormat="1" ht="21.75" customHeight="1" thickBot="1">
      <c r="A45" s="219"/>
      <c r="B45" s="220"/>
      <c r="C45" s="220"/>
      <c r="D45" s="220"/>
      <c r="E45" s="220"/>
      <c r="F45" s="220"/>
      <c r="G45" s="220"/>
      <c r="H45" s="220"/>
      <c r="I45" s="220"/>
      <c r="J45" s="220"/>
      <c r="K45" s="220"/>
      <c r="L45" s="220"/>
      <c r="M45" s="220"/>
      <c r="N45" s="220"/>
      <c r="O45" s="221"/>
      <c r="P45" s="2"/>
      <c r="Q45" s="2"/>
      <c r="R45" s="2"/>
      <c r="S45" s="2"/>
      <c r="T45" s="2"/>
      <c r="U45" s="2"/>
      <c r="V45" s="2"/>
      <c r="W45" s="2"/>
      <c r="X45" s="2"/>
      <c r="Y45" s="2"/>
      <c r="Z45" s="2"/>
      <c r="AA45" s="2"/>
      <c r="AB45" s="2"/>
    </row>
    <row r="46" spans="1:28" s="66" customFormat="1">
      <c r="A46" s="198">
        <v>5</v>
      </c>
      <c r="B46" s="200" t="s">
        <v>292</v>
      </c>
      <c r="C46" s="72" t="s">
        <v>288</v>
      </c>
      <c r="D46" s="69" t="s">
        <v>317</v>
      </c>
      <c r="E46" s="72" t="s">
        <v>288</v>
      </c>
      <c r="F46" s="69" t="s">
        <v>317</v>
      </c>
      <c r="G46" s="72" t="s">
        <v>288</v>
      </c>
      <c r="H46" s="69" t="s">
        <v>317</v>
      </c>
      <c r="I46" s="72" t="s">
        <v>288</v>
      </c>
      <c r="J46" s="69" t="s">
        <v>317</v>
      </c>
      <c r="K46" s="72" t="s">
        <v>288</v>
      </c>
      <c r="L46" s="69" t="s">
        <v>317</v>
      </c>
      <c r="M46" s="202" t="s">
        <v>288</v>
      </c>
      <c r="N46" s="202" t="s">
        <v>320</v>
      </c>
      <c r="O46" s="205" t="s">
        <v>331</v>
      </c>
      <c r="P46" s="2"/>
      <c r="Q46" s="2"/>
      <c r="R46" s="2"/>
      <c r="S46" s="2"/>
      <c r="T46" s="2"/>
      <c r="U46" s="2"/>
      <c r="V46" s="2"/>
      <c r="W46" s="2"/>
      <c r="X46" s="2"/>
      <c r="Y46" s="2"/>
      <c r="Z46" s="2"/>
      <c r="AA46" s="2"/>
      <c r="AB46" s="2"/>
    </row>
    <row r="47" spans="1:28" s="66" customFormat="1" ht="15.75" thickBot="1">
      <c r="A47" s="199"/>
      <c r="B47" s="201"/>
      <c r="C47" s="78" t="s">
        <v>305</v>
      </c>
      <c r="D47" s="77"/>
      <c r="E47" s="78" t="s">
        <v>305</v>
      </c>
      <c r="F47" s="77"/>
      <c r="G47" s="97" t="s">
        <v>305</v>
      </c>
      <c r="H47" s="102"/>
      <c r="I47" s="97" t="s">
        <v>305</v>
      </c>
      <c r="J47" s="109"/>
      <c r="K47" s="97" t="s">
        <v>305</v>
      </c>
      <c r="L47" s="109"/>
      <c r="M47" s="203"/>
      <c r="N47" s="203"/>
      <c r="O47" s="206"/>
      <c r="P47" s="2"/>
      <c r="Q47" s="2"/>
      <c r="R47" s="2"/>
      <c r="S47" s="2"/>
      <c r="T47" s="2"/>
      <c r="U47" s="2"/>
      <c r="V47" s="2"/>
      <c r="W47" s="2"/>
      <c r="X47" s="2"/>
      <c r="Y47" s="2"/>
      <c r="Z47" s="2"/>
      <c r="AA47" s="2"/>
      <c r="AB47" s="2"/>
    </row>
    <row r="48" spans="1:28" s="66" customFormat="1">
      <c r="A48" s="199"/>
      <c r="B48" s="201"/>
      <c r="C48" s="72" t="s">
        <v>288</v>
      </c>
      <c r="D48" s="69" t="s">
        <v>317</v>
      </c>
      <c r="E48" s="72" t="s">
        <v>288</v>
      </c>
      <c r="F48" s="69" t="s">
        <v>317</v>
      </c>
      <c r="G48" s="72" t="s">
        <v>288</v>
      </c>
      <c r="H48" s="69" t="s">
        <v>317</v>
      </c>
      <c r="I48" s="72" t="s">
        <v>288</v>
      </c>
      <c r="J48" s="69" t="s">
        <v>317</v>
      </c>
      <c r="K48" s="72" t="s">
        <v>288</v>
      </c>
      <c r="L48" s="69" t="s">
        <v>317</v>
      </c>
      <c r="M48" s="203"/>
      <c r="N48" s="203"/>
      <c r="O48" s="206"/>
      <c r="P48" s="2"/>
      <c r="Q48" s="2"/>
      <c r="R48" s="2"/>
      <c r="S48" s="2"/>
      <c r="T48" s="2"/>
      <c r="U48" s="2"/>
      <c r="V48" s="2"/>
      <c r="W48" s="2"/>
      <c r="X48" s="2"/>
      <c r="Y48" s="2"/>
      <c r="Z48" s="2"/>
      <c r="AA48" s="2"/>
      <c r="AB48" s="2"/>
    </row>
    <row r="49" spans="1:28" s="66" customFormat="1" ht="15.75" thickBot="1">
      <c r="A49" s="199"/>
      <c r="B49" s="201"/>
      <c r="C49" s="100" t="s">
        <v>305</v>
      </c>
      <c r="D49" s="77"/>
      <c r="E49" s="100" t="s">
        <v>305</v>
      </c>
      <c r="F49" s="77"/>
      <c r="G49" s="97" t="s">
        <v>305</v>
      </c>
      <c r="H49" s="103"/>
      <c r="I49" s="97" t="s">
        <v>305</v>
      </c>
      <c r="J49" s="106"/>
      <c r="K49" s="97" t="s">
        <v>305</v>
      </c>
      <c r="L49" s="106"/>
      <c r="M49" s="203"/>
      <c r="N49" s="203"/>
      <c r="O49" s="206"/>
      <c r="P49" s="2"/>
      <c r="Q49" s="2"/>
      <c r="R49" s="2"/>
      <c r="S49" s="2"/>
      <c r="T49" s="2"/>
      <c r="U49" s="2"/>
      <c r="V49" s="2"/>
      <c r="W49" s="2"/>
      <c r="X49" s="2"/>
      <c r="Y49" s="2"/>
      <c r="Z49" s="2"/>
      <c r="AA49" s="2"/>
      <c r="AB49" s="2"/>
    </row>
    <row r="50" spans="1:28" s="66" customFormat="1" ht="15.75" thickBot="1">
      <c r="A50" s="199"/>
      <c r="B50" s="201"/>
      <c r="C50" s="72" t="s">
        <v>288</v>
      </c>
      <c r="D50" s="69" t="s">
        <v>317</v>
      </c>
      <c r="E50" s="72" t="s">
        <v>288</v>
      </c>
      <c r="F50" s="69" t="s">
        <v>317</v>
      </c>
      <c r="G50" s="72" t="s">
        <v>288</v>
      </c>
      <c r="H50" s="69" t="s">
        <v>317</v>
      </c>
      <c r="I50" s="72" t="s">
        <v>288</v>
      </c>
      <c r="J50" s="69" t="s">
        <v>317</v>
      </c>
      <c r="K50" s="72" t="s">
        <v>288</v>
      </c>
      <c r="L50" s="69" t="s">
        <v>317</v>
      </c>
      <c r="M50" s="204"/>
      <c r="N50" s="204"/>
      <c r="O50" s="206"/>
      <c r="P50" s="2"/>
      <c r="Q50" s="2"/>
      <c r="R50" s="2"/>
      <c r="S50" s="2"/>
      <c r="T50" s="2"/>
      <c r="U50" s="2"/>
      <c r="V50" s="2"/>
      <c r="W50" s="2"/>
      <c r="X50" s="2"/>
      <c r="Y50" s="2"/>
      <c r="Z50" s="2"/>
      <c r="AA50" s="2"/>
      <c r="AB50" s="2"/>
    </row>
    <row r="51" spans="1:28" s="66" customFormat="1" ht="15.75" thickBot="1">
      <c r="A51" s="199"/>
      <c r="B51" s="201"/>
      <c r="C51" s="100" t="s">
        <v>305</v>
      </c>
      <c r="D51" s="99"/>
      <c r="E51" s="100" t="s">
        <v>305</v>
      </c>
      <c r="F51" s="99"/>
      <c r="G51" s="97" t="s">
        <v>305</v>
      </c>
      <c r="H51" s="103"/>
      <c r="I51" s="97" t="s">
        <v>305</v>
      </c>
      <c r="J51" s="106"/>
      <c r="K51" s="97" t="s">
        <v>305</v>
      </c>
      <c r="L51" s="106"/>
      <c r="M51" s="207" t="s">
        <v>305</v>
      </c>
      <c r="N51" s="208"/>
      <c r="O51" s="206"/>
      <c r="P51" s="2"/>
      <c r="Q51" s="2"/>
      <c r="R51" s="2"/>
      <c r="S51" s="2"/>
      <c r="T51" s="2"/>
      <c r="U51" s="2"/>
      <c r="V51" s="2"/>
      <c r="W51" s="2"/>
      <c r="X51" s="2"/>
      <c r="Y51" s="2"/>
      <c r="Z51" s="2"/>
      <c r="AA51" s="2"/>
      <c r="AB51" s="2"/>
    </row>
    <row r="52" spans="1:28" s="66" customFormat="1">
      <c r="A52" s="199"/>
      <c r="B52" s="201"/>
      <c r="C52" s="72" t="s">
        <v>288</v>
      </c>
      <c r="D52" s="69" t="s">
        <v>317</v>
      </c>
      <c r="E52" s="72" t="s">
        <v>288</v>
      </c>
      <c r="F52" s="69" t="s">
        <v>317</v>
      </c>
      <c r="G52" s="72" t="s">
        <v>288</v>
      </c>
      <c r="H52" s="69" t="s">
        <v>317</v>
      </c>
      <c r="I52" s="72" t="s">
        <v>288</v>
      </c>
      <c r="J52" s="69" t="s">
        <v>310</v>
      </c>
      <c r="K52" s="72" t="s">
        <v>288</v>
      </c>
      <c r="L52" s="69" t="s">
        <v>317</v>
      </c>
      <c r="M52" s="207"/>
      <c r="N52" s="208"/>
      <c r="O52" s="206"/>
      <c r="P52" s="2"/>
      <c r="Q52" s="2"/>
      <c r="R52" s="2"/>
      <c r="S52" s="2"/>
      <c r="T52" s="2"/>
      <c r="U52" s="2"/>
      <c r="V52" s="2"/>
      <c r="W52" s="2"/>
      <c r="X52" s="2"/>
      <c r="Y52" s="2"/>
      <c r="Z52" s="2"/>
      <c r="AA52" s="2"/>
      <c r="AB52" s="2"/>
    </row>
    <row r="53" spans="1:28" s="66" customFormat="1" ht="15.75" thickBot="1">
      <c r="A53" s="199"/>
      <c r="B53" s="201"/>
      <c r="C53" s="100" t="s">
        <v>305</v>
      </c>
      <c r="D53" s="99"/>
      <c r="E53" s="100" t="s">
        <v>305</v>
      </c>
      <c r="F53" s="99"/>
      <c r="G53" s="97" t="s">
        <v>305</v>
      </c>
      <c r="H53" s="106"/>
      <c r="I53" s="97" t="s">
        <v>305</v>
      </c>
      <c r="J53" s="106"/>
      <c r="K53" s="97" t="s">
        <v>305</v>
      </c>
      <c r="L53" s="106"/>
      <c r="M53" s="207"/>
      <c r="N53" s="208"/>
      <c r="O53" s="206"/>
      <c r="P53" s="2"/>
      <c r="Q53" s="2"/>
      <c r="R53" s="2"/>
      <c r="S53" s="2"/>
      <c r="T53" s="2"/>
      <c r="U53" s="2"/>
      <c r="V53" s="2"/>
      <c r="W53" s="2"/>
      <c r="X53" s="2"/>
      <c r="Y53" s="2"/>
      <c r="Z53" s="2"/>
      <c r="AA53" s="2"/>
      <c r="AB53" s="2"/>
    </row>
    <row r="54" spans="1:28" s="66" customFormat="1" ht="27.75" customHeight="1">
      <c r="A54" s="199"/>
      <c r="B54" s="201"/>
      <c r="C54" s="209" t="s">
        <v>306</v>
      </c>
      <c r="E54" s="209" t="s">
        <v>306</v>
      </c>
      <c r="G54" s="104" t="s">
        <v>315</v>
      </c>
      <c r="H54" s="105" t="s">
        <v>5</v>
      </c>
      <c r="I54" s="98" t="s">
        <v>315</v>
      </c>
      <c r="J54" s="82" t="s">
        <v>294</v>
      </c>
      <c r="K54" s="98" t="s">
        <v>315</v>
      </c>
      <c r="L54" s="83" t="s">
        <v>293</v>
      </c>
      <c r="M54" s="207"/>
      <c r="N54" s="208"/>
      <c r="O54" s="206"/>
      <c r="P54" s="2"/>
      <c r="Q54" s="2"/>
      <c r="R54" s="2"/>
      <c r="S54" s="2"/>
      <c r="T54" s="2"/>
      <c r="U54" s="2"/>
      <c r="V54" s="2"/>
      <c r="W54" s="2"/>
      <c r="X54" s="2"/>
      <c r="Y54" s="2"/>
      <c r="Z54" s="2"/>
      <c r="AA54" s="2"/>
      <c r="AB54" s="2"/>
    </row>
    <row r="55" spans="1:28" s="66" customFormat="1" ht="15.75" thickBot="1">
      <c r="A55" s="199"/>
      <c r="B55" s="201"/>
      <c r="C55" s="210"/>
      <c r="E55" s="210"/>
      <c r="G55" s="107" t="s">
        <v>316</v>
      </c>
      <c r="H55" s="115">
        <v>41626</v>
      </c>
      <c r="I55" s="107" t="s">
        <v>316</v>
      </c>
      <c r="J55" s="76">
        <v>53330</v>
      </c>
      <c r="K55" s="107" t="s">
        <v>316</v>
      </c>
      <c r="L55" s="76">
        <v>53570</v>
      </c>
      <c r="M55" s="207"/>
      <c r="N55" s="208"/>
      <c r="O55" s="206"/>
      <c r="P55" s="2"/>
      <c r="Q55" s="2"/>
      <c r="R55" s="2"/>
      <c r="S55" s="2"/>
      <c r="T55" s="2"/>
      <c r="U55" s="2"/>
      <c r="V55" s="2"/>
      <c r="W55" s="2"/>
      <c r="X55" s="2"/>
      <c r="Y55" s="2"/>
      <c r="Z55" s="2"/>
      <c r="AA55" s="2"/>
      <c r="AB55" s="2"/>
    </row>
    <row r="56" spans="1:28" s="66" customFormat="1" ht="15.75" thickBot="1">
      <c r="A56" s="193"/>
      <c r="B56" s="194"/>
      <c r="C56" s="194"/>
      <c r="D56" s="194"/>
      <c r="E56" s="194"/>
      <c r="F56" s="194"/>
      <c r="G56" s="194"/>
      <c r="H56" s="194"/>
      <c r="I56" s="194"/>
      <c r="J56" s="194"/>
      <c r="K56" s="194"/>
      <c r="L56" s="194"/>
      <c r="M56" s="194"/>
      <c r="N56" s="195"/>
      <c r="O56" s="124"/>
      <c r="P56" s="2"/>
      <c r="Q56" s="2"/>
      <c r="R56" s="2"/>
      <c r="S56" s="2"/>
      <c r="T56" s="2"/>
      <c r="U56" s="2"/>
      <c r="V56" s="2"/>
      <c r="W56" s="2"/>
      <c r="X56" s="2"/>
      <c r="Y56" s="2"/>
      <c r="Z56" s="2"/>
      <c r="AA56" s="2"/>
      <c r="AB56" s="2"/>
    </row>
    <row r="57" spans="1:28" s="66" customFormat="1">
      <c r="A57" s="198">
        <v>6</v>
      </c>
      <c r="B57" s="200" t="s">
        <v>324</v>
      </c>
      <c r="C57" s="72" t="s">
        <v>288</v>
      </c>
      <c r="D57" s="69" t="s">
        <v>317</v>
      </c>
      <c r="E57" s="72" t="s">
        <v>288</v>
      </c>
      <c r="F57" s="69" t="s">
        <v>317</v>
      </c>
      <c r="G57" s="72" t="s">
        <v>288</v>
      </c>
      <c r="H57" s="69" t="s">
        <v>302</v>
      </c>
      <c r="I57" s="72" t="s">
        <v>288</v>
      </c>
      <c r="J57" s="69" t="s">
        <v>302</v>
      </c>
      <c r="K57" s="72" t="s">
        <v>288</v>
      </c>
      <c r="L57" s="69" t="s">
        <v>302</v>
      </c>
      <c r="M57" s="202" t="s">
        <v>288</v>
      </c>
      <c r="N57" s="202" t="s">
        <v>320</v>
      </c>
      <c r="O57" s="205"/>
      <c r="P57" s="2"/>
      <c r="Q57" s="2"/>
      <c r="R57" s="2"/>
      <c r="S57" s="2"/>
      <c r="T57" s="2"/>
      <c r="U57" s="2"/>
      <c r="V57" s="2"/>
      <c r="W57" s="2"/>
      <c r="X57" s="2"/>
      <c r="Y57" s="2"/>
      <c r="Z57" s="2"/>
      <c r="AA57" s="2"/>
      <c r="AB57" s="2"/>
    </row>
    <row r="58" spans="1:28" s="66" customFormat="1" ht="15.75" thickBot="1">
      <c r="A58" s="199"/>
      <c r="B58" s="201"/>
      <c r="C58" s="78" t="s">
        <v>305</v>
      </c>
      <c r="D58" s="77"/>
      <c r="E58" s="78" t="s">
        <v>305</v>
      </c>
      <c r="F58" s="77"/>
      <c r="G58" s="97" t="s">
        <v>305</v>
      </c>
      <c r="H58" s="126">
        <v>44991</v>
      </c>
      <c r="I58" s="97" t="s">
        <v>305</v>
      </c>
      <c r="J58" s="127">
        <v>44991</v>
      </c>
      <c r="K58" s="97" t="s">
        <v>305</v>
      </c>
      <c r="L58" s="127">
        <v>44991</v>
      </c>
      <c r="M58" s="203"/>
      <c r="N58" s="203"/>
      <c r="O58" s="206"/>
      <c r="P58" s="2"/>
      <c r="Q58" s="2"/>
      <c r="R58" s="2"/>
      <c r="S58" s="2"/>
      <c r="T58" s="2"/>
      <c r="U58" s="2"/>
      <c r="V58" s="2"/>
      <c r="W58" s="2"/>
      <c r="X58" s="2"/>
      <c r="Y58" s="2"/>
      <c r="Z58" s="2"/>
      <c r="AA58" s="2"/>
      <c r="AB58" s="2"/>
    </row>
    <row r="59" spans="1:28" s="66" customFormat="1">
      <c r="A59" s="199"/>
      <c r="B59" s="201"/>
      <c r="C59" s="72" t="s">
        <v>288</v>
      </c>
      <c r="D59" s="69" t="s">
        <v>317</v>
      </c>
      <c r="E59" s="72" t="s">
        <v>288</v>
      </c>
      <c r="F59" s="69" t="s">
        <v>317</v>
      </c>
      <c r="G59" s="72" t="s">
        <v>288</v>
      </c>
      <c r="H59" s="69" t="s">
        <v>317</v>
      </c>
      <c r="I59" s="72" t="s">
        <v>288</v>
      </c>
      <c r="J59" s="69" t="s">
        <v>317</v>
      </c>
      <c r="K59" s="72" t="s">
        <v>288</v>
      </c>
      <c r="L59" s="69" t="s">
        <v>317</v>
      </c>
      <c r="M59" s="203"/>
      <c r="N59" s="203"/>
      <c r="O59" s="206"/>
      <c r="P59" s="2"/>
      <c r="Q59" s="2"/>
      <c r="R59" s="2"/>
      <c r="S59" s="2"/>
      <c r="T59" s="2"/>
      <c r="U59" s="2"/>
      <c r="V59" s="2"/>
      <c r="W59" s="2"/>
      <c r="X59" s="2"/>
      <c r="Y59" s="2"/>
      <c r="Z59" s="2"/>
      <c r="AA59" s="2"/>
      <c r="AB59" s="2"/>
    </row>
    <row r="60" spans="1:28" s="66" customFormat="1" ht="15.75" thickBot="1">
      <c r="A60" s="199"/>
      <c r="B60" s="201"/>
      <c r="C60" s="100" t="s">
        <v>305</v>
      </c>
      <c r="D60" s="77"/>
      <c r="E60" s="100" t="s">
        <v>305</v>
      </c>
      <c r="F60" s="77"/>
      <c r="G60" s="97" t="s">
        <v>305</v>
      </c>
      <c r="H60" s="103"/>
      <c r="I60" s="97" t="s">
        <v>305</v>
      </c>
      <c r="J60" s="106"/>
      <c r="K60" s="97" t="s">
        <v>305</v>
      </c>
      <c r="L60" s="106"/>
      <c r="M60" s="203"/>
      <c r="N60" s="203"/>
      <c r="O60" s="206"/>
      <c r="P60" s="2"/>
      <c r="Q60" s="2"/>
      <c r="R60" s="2"/>
      <c r="S60" s="2"/>
      <c r="T60" s="2"/>
      <c r="U60" s="2"/>
      <c r="V60" s="2"/>
      <c r="W60" s="2"/>
      <c r="X60" s="2"/>
      <c r="Y60" s="2"/>
      <c r="Z60" s="2"/>
      <c r="AA60" s="2"/>
      <c r="AB60" s="2"/>
    </row>
    <row r="61" spans="1:28" s="66" customFormat="1" ht="15.75" thickBot="1">
      <c r="A61" s="199"/>
      <c r="B61" s="201"/>
      <c r="C61" s="72" t="s">
        <v>288</v>
      </c>
      <c r="D61" s="69" t="s">
        <v>317</v>
      </c>
      <c r="E61" s="72" t="s">
        <v>288</v>
      </c>
      <c r="F61" s="69" t="s">
        <v>317</v>
      </c>
      <c r="G61" s="72" t="s">
        <v>288</v>
      </c>
      <c r="H61" s="69" t="s">
        <v>317</v>
      </c>
      <c r="I61" s="72" t="s">
        <v>288</v>
      </c>
      <c r="J61" s="69" t="s">
        <v>317</v>
      </c>
      <c r="K61" s="72" t="s">
        <v>288</v>
      </c>
      <c r="L61" s="69" t="s">
        <v>317</v>
      </c>
      <c r="M61" s="204"/>
      <c r="N61" s="204"/>
      <c r="O61" s="206"/>
      <c r="P61" s="2"/>
      <c r="Q61" s="2"/>
      <c r="R61" s="2"/>
      <c r="S61" s="2"/>
      <c r="T61" s="2"/>
      <c r="U61" s="2"/>
      <c r="V61" s="2"/>
      <c r="W61" s="2"/>
      <c r="X61" s="2"/>
      <c r="Y61" s="2"/>
      <c r="Z61" s="2"/>
      <c r="AA61" s="2"/>
      <c r="AB61" s="2"/>
    </row>
    <row r="62" spans="1:28" s="66" customFormat="1" ht="15.75" thickBot="1">
      <c r="A62" s="199"/>
      <c r="B62" s="201"/>
      <c r="C62" s="100" t="s">
        <v>305</v>
      </c>
      <c r="D62" s="99"/>
      <c r="E62" s="100" t="s">
        <v>305</v>
      </c>
      <c r="F62" s="99"/>
      <c r="G62" s="97" t="s">
        <v>305</v>
      </c>
      <c r="H62" s="103"/>
      <c r="I62" s="97" t="s">
        <v>305</v>
      </c>
      <c r="J62" s="106"/>
      <c r="K62" s="97" t="s">
        <v>305</v>
      </c>
      <c r="L62" s="106"/>
      <c r="M62" s="207" t="s">
        <v>305</v>
      </c>
      <c r="N62" s="208"/>
      <c r="O62" s="206"/>
      <c r="P62" s="2"/>
      <c r="Q62" s="2"/>
      <c r="R62" s="2"/>
      <c r="S62" s="2"/>
      <c r="T62" s="2"/>
      <c r="U62" s="2"/>
      <c r="V62" s="2"/>
      <c r="W62" s="2"/>
      <c r="X62" s="2"/>
      <c r="Y62" s="2"/>
      <c r="Z62" s="2"/>
      <c r="AA62" s="2"/>
      <c r="AB62" s="2"/>
    </row>
    <row r="63" spans="1:28" s="66" customFormat="1">
      <c r="A63" s="199"/>
      <c r="B63" s="201"/>
      <c r="C63" s="72" t="s">
        <v>288</v>
      </c>
      <c r="D63" s="69" t="s">
        <v>317</v>
      </c>
      <c r="E63" s="72" t="s">
        <v>288</v>
      </c>
      <c r="F63" s="69" t="s">
        <v>317</v>
      </c>
      <c r="G63" s="72" t="s">
        <v>288</v>
      </c>
      <c r="H63" s="69" t="s">
        <v>317</v>
      </c>
      <c r="I63" s="72" t="s">
        <v>288</v>
      </c>
      <c r="J63" s="69" t="s">
        <v>310</v>
      </c>
      <c r="K63" s="72" t="s">
        <v>288</v>
      </c>
      <c r="L63" s="69" t="s">
        <v>317</v>
      </c>
      <c r="M63" s="207"/>
      <c r="N63" s="208"/>
      <c r="O63" s="206"/>
      <c r="P63" s="2"/>
      <c r="Q63" s="2"/>
      <c r="R63" s="2"/>
      <c r="S63" s="2"/>
      <c r="T63" s="2"/>
      <c r="U63" s="2"/>
      <c r="V63" s="2"/>
      <c r="W63" s="2"/>
      <c r="X63" s="2"/>
      <c r="Y63" s="2"/>
      <c r="Z63" s="2"/>
      <c r="AA63" s="2"/>
      <c r="AB63" s="2"/>
    </row>
    <row r="64" spans="1:28" s="66" customFormat="1" ht="15.75" thickBot="1">
      <c r="A64" s="199"/>
      <c r="B64" s="201"/>
      <c r="C64" s="100" t="s">
        <v>305</v>
      </c>
      <c r="D64" s="99"/>
      <c r="E64" s="100" t="s">
        <v>305</v>
      </c>
      <c r="F64" s="99"/>
      <c r="G64" s="97" t="s">
        <v>305</v>
      </c>
      <c r="H64" s="106"/>
      <c r="I64" s="97" t="s">
        <v>305</v>
      </c>
      <c r="J64" s="106"/>
      <c r="K64" s="97" t="s">
        <v>305</v>
      </c>
      <c r="L64" s="106"/>
      <c r="M64" s="207"/>
      <c r="N64" s="208"/>
      <c r="O64" s="206"/>
      <c r="P64" s="2"/>
      <c r="Q64" s="2"/>
      <c r="R64" s="2"/>
      <c r="S64" s="2"/>
      <c r="T64" s="2"/>
      <c r="U64" s="2"/>
      <c r="V64" s="2"/>
      <c r="W64" s="2"/>
      <c r="X64" s="2"/>
      <c r="Y64" s="2"/>
      <c r="Z64" s="2"/>
      <c r="AA64" s="2"/>
      <c r="AB64" s="2"/>
    </row>
    <row r="65" spans="1:28" s="66" customFormat="1" ht="27.75" customHeight="1">
      <c r="A65" s="199"/>
      <c r="B65" s="201"/>
      <c r="C65" s="209" t="s">
        <v>306</v>
      </c>
      <c r="E65" s="209" t="s">
        <v>306</v>
      </c>
      <c r="G65" s="104" t="s">
        <v>315</v>
      </c>
      <c r="H65" s="136" t="s">
        <v>301</v>
      </c>
      <c r="I65" s="98" t="s">
        <v>315</v>
      </c>
      <c r="J65" s="137" t="s">
        <v>335</v>
      </c>
      <c r="K65" s="98" t="s">
        <v>315</v>
      </c>
      <c r="L65" s="135" t="s">
        <v>5</v>
      </c>
      <c r="M65" s="207"/>
      <c r="N65" s="208"/>
      <c r="O65" s="206"/>
      <c r="P65" s="2"/>
      <c r="Q65" s="2"/>
      <c r="R65" s="2"/>
      <c r="S65" s="2"/>
      <c r="T65" s="2"/>
      <c r="U65" s="2"/>
      <c r="V65" s="2"/>
      <c r="W65" s="2"/>
      <c r="X65" s="2"/>
      <c r="Y65" s="2"/>
      <c r="Z65" s="2"/>
      <c r="AA65" s="2"/>
      <c r="AB65" s="2"/>
    </row>
    <row r="66" spans="1:28" s="66" customFormat="1" ht="15.75" thickBot="1">
      <c r="A66" s="199"/>
      <c r="B66" s="201"/>
      <c r="C66" s="210"/>
      <c r="E66" s="210"/>
      <c r="G66" s="107" t="s">
        <v>316</v>
      </c>
      <c r="H66" s="76">
        <v>62100</v>
      </c>
      <c r="I66" s="107" t="s">
        <v>316</v>
      </c>
      <c r="J66" s="76">
        <v>73044</v>
      </c>
      <c r="K66" s="107" t="s">
        <v>316</v>
      </c>
      <c r="L66" s="115">
        <v>60020</v>
      </c>
      <c r="M66" s="207"/>
      <c r="N66" s="208"/>
      <c r="O66" s="206"/>
      <c r="P66" s="2"/>
      <c r="Q66" s="2"/>
      <c r="R66" s="2"/>
      <c r="S66" s="2"/>
      <c r="T66" s="2"/>
      <c r="U66" s="2"/>
      <c r="V66" s="2"/>
      <c r="W66" s="2"/>
      <c r="X66" s="2"/>
      <c r="Y66" s="2"/>
      <c r="Z66" s="2"/>
      <c r="AA66" s="2"/>
      <c r="AB66" s="2"/>
    </row>
    <row r="67" spans="1:28" s="66" customFormat="1" ht="15.75" thickBot="1">
      <c r="A67" s="193">
        <v>62100</v>
      </c>
      <c r="B67" s="194"/>
      <c r="C67" s="194"/>
      <c r="D67" s="194"/>
      <c r="E67" s="194"/>
      <c r="F67" s="194"/>
      <c r="G67" s="194"/>
      <c r="H67" s="194"/>
      <c r="I67" s="194"/>
      <c r="J67" s="194"/>
      <c r="K67" s="194"/>
      <c r="L67" s="194"/>
      <c r="M67" s="194"/>
      <c r="N67" s="195"/>
      <c r="O67" s="125"/>
      <c r="P67" s="2"/>
      <c r="Q67" s="2"/>
      <c r="R67" s="2"/>
      <c r="S67" s="2"/>
      <c r="T67" s="2"/>
      <c r="U67" s="2"/>
      <c r="V67" s="2"/>
      <c r="W67" s="2"/>
      <c r="X67" s="2"/>
      <c r="Y67" s="2"/>
      <c r="Z67" s="2"/>
      <c r="AA67" s="2"/>
      <c r="AB67" s="2"/>
    </row>
    <row r="68" spans="1:28" s="66" customFormat="1">
      <c r="A68" s="198"/>
      <c r="B68" s="200" t="s">
        <v>8</v>
      </c>
      <c r="C68" s="72" t="s">
        <v>288</v>
      </c>
      <c r="D68" s="69" t="s">
        <v>317</v>
      </c>
      <c r="E68" s="72" t="s">
        <v>288</v>
      </c>
      <c r="F68" s="69" t="s">
        <v>317</v>
      </c>
      <c r="G68" s="72" t="s">
        <v>288</v>
      </c>
      <c r="H68" s="69" t="s">
        <v>317</v>
      </c>
      <c r="I68" s="72" t="s">
        <v>288</v>
      </c>
      <c r="J68" s="69" t="s">
        <v>317</v>
      </c>
      <c r="K68" s="72" t="s">
        <v>288</v>
      </c>
      <c r="L68" s="69" t="s">
        <v>317</v>
      </c>
      <c r="M68" s="202" t="s">
        <v>288</v>
      </c>
      <c r="N68" s="202" t="s">
        <v>320</v>
      </c>
      <c r="O68" s="205"/>
      <c r="P68" s="2"/>
      <c r="Q68" s="2"/>
      <c r="R68" s="2"/>
      <c r="S68" s="2"/>
      <c r="T68" s="2"/>
      <c r="U68" s="2"/>
      <c r="V68" s="2"/>
      <c r="W68" s="2"/>
      <c r="X68" s="2"/>
      <c r="Y68" s="2"/>
      <c r="Z68" s="2"/>
      <c r="AA68" s="2"/>
      <c r="AB68" s="2"/>
    </row>
    <row r="69" spans="1:28" s="66" customFormat="1" ht="15.75" thickBot="1">
      <c r="A69" s="199"/>
      <c r="B69" s="201"/>
      <c r="C69" s="78" t="s">
        <v>305</v>
      </c>
      <c r="D69" s="77"/>
      <c r="E69" s="78" t="s">
        <v>305</v>
      </c>
      <c r="F69" s="77"/>
      <c r="G69" s="97" t="s">
        <v>305</v>
      </c>
      <c r="H69" s="102"/>
      <c r="I69" s="97" t="s">
        <v>305</v>
      </c>
      <c r="J69" s="109"/>
      <c r="K69" s="97" t="s">
        <v>305</v>
      </c>
      <c r="L69" s="109"/>
      <c r="M69" s="203"/>
      <c r="N69" s="203"/>
      <c r="O69" s="206"/>
      <c r="P69" s="2"/>
      <c r="Q69" s="2"/>
      <c r="R69" s="2"/>
      <c r="S69" s="2"/>
      <c r="T69" s="2"/>
      <c r="U69" s="2"/>
      <c r="V69" s="2"/>
      <c r="W69" s="2"/>
      <c r="X69" s="2"/>
      <c r="Y69" s="2"/>
      <c r="Z69" s="2"/>
      <c r="AA69" s="2"/>
      <c r="AB69" s="2"/>
    </row>
    <row r="70" spans="1:28" s="66" customFormat="1">
      <c r="A70" s="199"/>
      <c r="B70" s="201"/>
      <c r="C70" s="72" t="s">
        <v>288</v>
      </c>
      <c r="D70" s="69" t="s">
        <v>317</v>
      </c>
      <c r="E70" s="72" t="s">
        <v>288</v>
      </c>
      <c r="F70" s="69" t="s">
        <v>317</v>
      </c>
      <c r="G70" s="72" t="s">
        <v>288</v>
      </c>
      <c r="H70" s="69" t="s">
        <v>317</v>
      </c>
      <c r="I70" s="72" t="s">
        <v>288</v>
      </c>
      <c r="J70" s="69" t="s">
        <v>317</v>
      </c>
      <c r="K70" s="72" t="s">
        <v>288</v>
      </c>
      <c r="L70" s="69" t="s">
        <v>317</v>
      </c>
      <c r="M70" s="203"/>
      <c r="N70" s="203"/>
      <c r="O70" s="206"/>
      <c r="P70" s="2"/>
      <c r="Q70" s="2"/>
      <c r="R70" s="2"/>
      <c r="S70" s="2"/>
      <c r="T70" s="2"/>
      <c r="U70" s="2"/>
      <c r="V70" s="2"/>
      <c r="W70" s="2"/>
      <c r="X70" s="2"/>
      <c r="Y70" s="2"/>
      <c r="Z70" s="2"/>
      <c r="AA70" s="2"/>
      <c r="AB70" s="2"/>
    </row>
    <row r="71" spans="1:28" s="66" customFormat="1" ht="15.75" thickBot="1">
      <c r="A71" s="199"/>
      <c r="B71" s="201"/>
      <c r="C71" s="100" t="s">
        <v>305</v>
      </c>
      <c r="D71" s="77"/>
      <c r="E71" s="100" t="s">
        <v>305</v>
      </c>
      <c r="F71" s="77"/>
      <c r="G71" s="97" t="s">
        <v>305</v>
      </c>
      <c r="H71" s="103"/>
      <c r="I71" s="97" t="s">
        <v>305</v>
      </c>
      <c r="J71" s="106"/>
      <c r="K71" s="97" t="s">
        <v>305</v>
      </c>
      <c r="L71" s="106"/>
      <c r="M71" s="203"/>
      <c r="N71" s="203"/>
      <c r="O71" s="206"/>
      <c r="P71" s="2"/>
      <c r="Q71" s="2"/>
      <c r="R71" s="2"/>
      <c r="S71" s="2"/>
      <c r="T71" s="2"/>
      <c r="U71" s="2"/>
      <c r="V71" s="2"/>
      <c r="W71" s="2"/>
      <c r="X71" s="2"/>
      <c r="Y71" s="2"/>
      <c r="Z71" s="2"/>
      <c r="AA71" s="2"/>
      <c r="AB71" s="2"/>
    </row>
    <row r="72" spans="1:28" s="66" customFormat="1" ht="15.75" thickBot="1">
      <c r="A72" s="199"/>
      <c r="B72" s="201"/>
      <c r="C72" s="72" t="s">
        <v>288</v>
      </c>
      <c r="D72" s="69" t="s">
        <v>317</v>
      </c>
      <c r="E72" s="72" t="s">
        <v>288</v>
      </c>
      <c r="F72" s="69" t="s">
        <v>317</v>
      </c>
      <c r="G72" s="72" t="s">
        <v>288</v>
      </c>
      <c r="H72" s="69" t="s">
        <v>317</v>
      </c>
      <c r="I72" s="72" t="s">
        <v>288</v>
      </c>
      <c r="J72" s="69" t="s">
        <v>317</v>
      </c>
      <c r="K72" s="72" t="s">
        <v>288</v>
      </c>
      <c r="L72" s="69" t="s">
        <v>317</v>
      </c>
      <c r="M72" s="204"/>
      <c r="N72" s="204"/>
      <c r="O72" s="206"/>
      <c r="P72" s="2"/>
      <c r="Q72" s="2"/>
      <c r="R72" s="2"/>
      <c r="S72" s="2"/>
      <c r="T72" s="2"/>
      <c r="U72" s="2"/>
      <c r="V72" s="2"/>
      <c r="W72" s="2"/>
      <c r="X72" s="2"/>
      <c r="Y72" s="2"/>
      <c r="Z72" s="2"/>
      <c r="AA72" s="2"/>
      <c r="AB72" s="2"/>
    </row>
    <row r="73" spans="1:28" s="66" customFormat="1" ht="15.75" thickBot="1">
      <c r="A73" s="199"/>
      <c r="B73" s="201"/>
      <c r="C73" s="100" t="s">
        <v>305</v>
      </c>
      <c r="D73" s="99"/>
      <c r="E73" s="100" t="s">
        <v>305</v>
      </c>
      <c r="F73" s="99"/>
      <c r="G73" s="97" t="s">
        <v>305</v>
      </c>
      <c r="H73" s="103"/>
      <c r="I73" s="97" t="s">
        <v>305</v>
      </c>
      <c r="J73" s="106"/>
      <c r="K73" s="97" t="s">
        <v>305</v>
      </c>
      <c r="L73" s="106"/>
      <c r="M73" s="207" t="s">
        <v>305</v>
      </c>
      <c r="N73" s="208"/>
      <c r="O73" s="206"/>
      <c r="P73" s="2"/>
      <c r="Q73" s="2"/>
      <c r="R73" s="2"/>
      <c r="S73" s="2"/>
      <c r="T73" s="2"/>
      <c r="U73" s="2"/>
      <c r="V73" s="2"/>
      <c r="W73" s="2"/>
      <c r="X73" s="2"/>
      <c r="Y73" s="2"/>
      <c r="Z73" s="2"/>
      <c r="AA73" s="2"/>
      <c r="AB73" s="2"/>
    </row>
    <row r="74" spans="1:28" s="66" customFormat="1">
      <c r="A74" s="199"/>
      <c r="B74" s="201"/>
      <c r="C74" s="72" t="s">
        <v>288</v>
      </c>
      <c r="D74" s="69" t="s">
        <v>317</v>
      </c>
      <c r="E74" s="72" t="s">
        <v>288</v>
      </c>
      <c r="F74" s="69" t="s">
        <v>317</v>
      </c>
      <c r="G74" s="72" t="s">
        <v>288</v>
      </c>
      <c r="H74" s="69" t="s">
        <v>317</v>
      </c>
      <c r="I74" s="72" t="s">
        <v>288</v>
      </c>
      <c r="J74" s="69" t="s">
        <v>310</v>
      </c>
      <c r="K74" s="72" t="s">
        <v>288</v>
      </c>
      <c r="L74" s="69" t="s">
        <v>317</v>
      </c>
      <c r="M74" s="207"/>
      <c r="N74" s="208"/>
      <c r="O74" s="206"/>
      <c r="P74" s="2"/>
      <c r="Q74" s="2"/>
      <c r="R74" s="2"/>
      <c r="S74" s="2"/>
      <c r="T74" s="2"/>
      <c r="U74" s="2"/>
      <c r="V74" s="2"/>
      <c r="W74" s="2"/>
      <c r="X74" s="2"/>
      <c r="Y74" s="2"/>
      <c r="Z74" s="2"/>
      <c r="AA74" s="2"/>
      <c r="AB74" s="2"/>
    </row>
    <row r="75" spans="1:28" s="66" customFormat="1" ht="15.75" thickBot="1">
      <c r="A75" s="199"/>
      <c r="B75" s="201"/>
      <c r="C75" s="100" t="s">
        <v>305</v>
      </c>
      <c r="D75" s="99"/>
      <c r="E75" s="100" t="s">
        <v>305</v>
      </c>
      <c r="F75" s="99"/>
      <c r="G75" s="97" t="s">
        <v>305</v>
      </c>
      <c r="H75" s="106"/>
      <c r="I75" s="97" t="s">
        <v>305</v>
      </c>
      <c r="J75" s="106"/>
      <c r="K75" s="97" t="s">
        <v>305</v>
      </c>
      <c r="L75" s="106"/>
      <c r="M75" s="207"/>
      <c r="N75" s="208"/>
      <c r="O75" s="206"/>
      <c r="P75" s="2"/>
      <c r="Q75" s="2"/>
      <c r="R75" s="2"/>
      <c r="S75" s="2"/>
      <c r="T75" s="2"/>
      <c r="U75" s="2"/>
      <c r="V75" s="2"/>
      <c r="W75" s="2"/>
      <c r="X75" s="2"/>
      <c r="Y75" s="2"/>
      <c r="Z75" s="2"/>
      <c r="AA75" s="2"/>
      <c r="AB75" s="2"/>
    </row>
    <row r="76" spans="1:28" s="66" customFormat="1" ht="15" customHeight="1">
      <c r="A76" s="199"/>
      <c r="B76" s="201"/>
      <c r="C76" s="209" t="s">
        <v>306</v>
      </c>
      <c r="D76" s="227" t="e">
        <f>SUM(Смета_лит.Е!#REF!)</f>
        <v>#REF!</v>
      </c>
      <c r="E76" s="209" t="s">
        <v>306</v>
      </c>
      <c r="F76" s="196" t="e">
        <f>D76*35%</f>
        <v>#REF!</v>
      </c>
      <c r="G76" s="104" t="s">
        <v>315</v>
      </c>
      <c r="H76" s="105"/>
      <c r="I76" s="98" t="s">
        <v>315</v>
      </c>
      <c r="J76" s="82"/>
      <c r="K76" s="98" t="s">
        <v>315</v>
      </c>
      <c r="L76" s="83"/>
      <c r="M76" s="207"/>
      <c r="N76" s="208"/>
      <c r="O76" s="206"/>
      <c r="P76" s="2"/>
      <c r="Q76" s="2"/>
      <c r="R76" s="2"/>
      <c r="S76" s="2"/>
      <c r="T76" s="2"/>
      <c r="U76" s="2"/>
      <c r="V76" s="2"/>
      <c r="W76" s="2"/>
      <c r="X76" s="2"/>
      <c r="Y76" s="2"/>
      <c r="Z76" s="2"/>
      <c r="AA76" s="2"/>
      <c r="AB76" s="2"/>
    </row>
    <row r="77" spans="1:28" s="66" customFormat="1" ht="15.75" thickBot="1">
      <c r="A77" s="222"/>
      <c r="B77" s="223"/>
      <c r="C77" s="215"/>
      <c r="D77" s="228"/>
      <c r="E77" s="215"/>
      <c r="F77" s="216"/>
      <c r="G77" s="97" t="s">
        <v>316</v>
      </c>
      <c r="H77" s="117"/>
      <c r="I77" s="97" t="s">
        <v>316</v>
      </c>
      <c r="J77" s="117"/>
      <c r="K77" s="97" t="s">
        <v>316</v>
      </c>
      <c r="L77" s="117"/>
      <c r="M77" s="225"/>
      <c r="N77" s="226"/>
      <c r="O77" s="224"/>
      <c r="P77" s="2"/>
      <c r="Q77" s="2"/>
      <c r="R77" s="2"/>
      <c r="S77" s="2"/>
      <c r="T77" s="2"/>
      <c r="U77" s="2"/>
      <c r="V77" s="2"/>
      <c r="W77" s="2"/>
      <c r="X77" s="2"/>
      <c r="Y77" s="2"/>
      <c r="Z77" s="2"/>
      <c r="AA77" s="2"/>
      <c r="AB77" s="2"/>
    </row>
    <row r="78" spans="1:28" s="66" customFormat="1" ht="15.75" thickBot="1">
      <c r="A78" s="219"/>
      <c r="B78" s="220"/>
      <c r="C78" s="220"/>
      <c r="D78" s="220"/>
      <c r="E78" s="220"/>
      <c r="F78" s="220"/>
      <c r="G78" s="220"/>
      <c r="H78" s="220"/>
      <c r="I78" s="220"/>
      <c r="J78" s="220"/>
      <c r="K78" s="220"/>
      <c r="L78" s="220"/>
      <c r="M78" s="220"/>
      <c r="N78" s="220"/>
      <c r="O78" s="221"/>
      <c r="P78" s="2"/>
      <c r="Q78" s="2"/>
      <c r="R78" s="2"/>
      <c r="S78" s="2"/>
      <c r="T78" s="2"/>
      <c r="U78" s="2"/>
      <c r="V78" s="2"/>
      <c r="W78" s="2"/>
      <c r="X78" s="2"/>
      <c r="Y78" s="2"/>
      <c r="Z78" s="2"/>
      <c r="AA78" s="2"/>
      <c r="AB78" s="2"/>
    </row>
    <row r="79" spans="1:28" s="66" customFormat="1">
      <c r="A79" s="198"/>
      <c r="B79" s="200" t="s">
        <v>9</v>
      </c>
      <c r="C79" s="72" t="s">
        <v>288</v>
      </c>
      <c r="D79" s="69" t="s">
        <v>317</v>
      </c>
      <c r="E79" s="72" t="s">
        <v>288</v>
      </c>
      <c r="F79" s="69" t="s">
        <v>317</v>
      </c>
      <c r="G79" s="72" t="s">
        <v>288</v>
      </c>
      <c r="H79" s="69" t="s">
        <v>317</v>
      </c>
      <c r="I79" s="72" t="s">
        <v>288</v>
      </c>
      <c r="J79" s="69" t="s">
        <v>317</v>
      </c>
      <c r="K79" s="72" t="s">
        <v>288</v>
      </c>
      <c r="L79" s="69" t="s">
        <v>317</v>
      </c>
      <c r="M79" s="202" t="s">
        <v>288</v>
      </c>
      <c r="N79" s="202" t="s">
        <v>320</v>
      </c>
      <c r="O79" s="205"/>
      <c r="P79" s="2"/>
      <c r="Q79" s="2"/>
      <c r="R79" s="2"/>
      <c r="S79" s="2"/>
      <c r="T79" s="2"/>
      <c r="U79" s="2"/>
      <c r="V79" s="2"/>
      <c r="W79" s="2"/>
      <c r="X79" s="2"/>
      <c r="Y79" s="2"/>
      <c r="Z79" s="2"/>
      <c r="AA79" s="2"/>
      <c r="AB79" s="2"/>
    </row>
    <row r="80" spans="1:28" s="66" customFormat="1" ht="15.75" thickBot="1">
      <c r="A80" s="199"/>
      <c r="B80" s="201"/>
      <c r="C80" s="78" t="s">
        <v>305</v>
      </c>
      <c r="D80" s="77"/>
      <c r="E80" s="78" t="s">
        <v>305</v>
      </c>
      <c r="F80" s="77"/>
      <c r="G80" s="97" t="s">
        <v>305</v>
      </c>
      <c r="H80" s="102"/>
      <c r="I80" s="97" t="s">
        <v>305</v>
      </c>
      <c r="J80" s="109"/>
      <c r="K80" s="97" t="s">
        <v>305</v>
      </c>
      <c r="L80" s="109"/>
      <c r="M80" s="203"/>
      <c r="N80" s="203"/>
      <c r="O80" s="206"/>
      <c r="P80" s="2"/>
      <c r="Q80" s="2"/>
      <c r="R80" s="2"/>
      <c r="S80" s="2"/>
      <c r="T80" s="2"/>
      <c r="U80" s="2"/>
      <c r="V80" s="2"/>
      <c r="W80" s="2"/>
      <c r="X80" s="2"/>
      <c r="Y80" s="2"/>
      <c r="Z80" s="2"/>
      <c r="AA80" s="2"/>
      <c r="AB80" s="2"/>
    </row>
    <row r="81" spans="1:28" s="66" customFormat="1">
      <c r="A81" s="199"/>
      <c r="B81" s="201"/>
      <c r="C81" s="72" t="s">
        <v>288</v>
      </c>
      <c r="D81" s="69" t="s">
        <v>317</v>
      </c>
      <c r="E81" s="72" t="s">
        <v>288</v>
      </c>
      <c r="F81" s="69" t="s">
        <v>317</v>
      </c>
      <c r="G81" s="72" t="s">
        <v>288</v>
      </c>
      <c r="H81" s="69" t="s">
        <v>317</v>
      </c>
      <c r="I81" s="72" t="s">
        <v>288</v>
      </c>
      <c r="J81" s="69" t="s">
        <v>317</v>
      </c>
      <c r="K81" s="72" t="s">
        <v>288</v>
      </c>
      <c r="L81" s="69" t="s">
        <v>317</v>
      </c>
      <c r="M81" s="203"/>
      <c r="N81" s="203"/>
      <c r="O81" s="206"/>
      <c r="P81" s="2"/>
      <c r="Q81" s="2"/>
      <c r="R81" s="2"/>
      <c r="S81" s="2"/>
      <c r="T81" s="2"/>
      <c r="U81" s="2"/>
      <c r="V81" s="2"/>
      <c r="W81" s="2"/>
      <c r="X81" s="2"/>
      <c r="Y81" s="2"/>
      <c r="Z81" s="2"/>
      <c r="AA81" s="2"/>
      <c r="AB81" s="2"/>
    </row>
    <row r="82" spans="1:28" s="66" customFormat="1" ht="15.75" thickBot="1">
      <c r="A82" s="199"/>
      <c r="B82" s="201"/>
      <c r="C82" s="100" t="s">
        <v>305</v>
      </c>
      <c r="D82" s="77"/>
      <c r="E82" s="100" t="s">
        <v>305</v>
      </c>
      <c r="F82" s="77"/>
      <c r="G82" s="97" t="s">
        <v>305</v>
      </c>
      <c r="H82" s="103"/>
      <c r="I82" s="97" t="s">
        <v>305</v>
      </c>
      <c r="J82" s="106"/>
      <c r="K82" s="97" t="s">
        <v>305</v>
      </c>
      <c r="L82" s="106"/>
      <c r="M82" s="203"/>
      <c r="N82" s="203"/>
      <c r="O82" s="206"/>
      <c r="P82" s="2"/>
      <c r="Q82" s="2"/>
      <c r="R82" s="2"/>
      <c r="S82" s="2"/>
      <c r="T82" s="2"/>
      <c r="U82" s="2"/>
      <c r="V82" s="2"/>
      <c r="W82" s="2"/>
      <c r="X82" s="2"/>
      <c r="Y82" s="2"/>
      <c r="Z82" s="2"/>
      <c r="AA82" s="2"/>
      <c r="AB82" s="2"/>
    </row>
    <row r="83" spans="1:28" s="66" customFormat="1" ht="15.75" thickBot="1">
      <c r="A83" s="199"/>
      <c r="B83" s="201"/>
      <c r="C83" s="72" t="s">
        <v>288</v>
      </c>
      <c r="D83" s="69" t="s">
        <v>317</v>
      </c>
      <c r="E83" s="72" t="s">
        <v>288</v>
      </c>
      <c r="F83" s="69" t="s">
        <v>317</v>
      </c>
      <c r="G83" s="72" t="s">
        <v>288</v>
      </c>
      <c r="H83" s="69" t="s">
        <v>317</v>
      </c>
      <c r="I83" s="72" t="s">
        <v>288</v>
      </c>
      <c r="J83" s="69" t="s">
        <v>317</v>
      </c>
      <c r="K83" s="72" t="s">
        <v>288</v>
      </c>
      <c r="L83" s="69" t="s">
        <v>317</v>
      </c>
      <c r="M83" s="204"/>
      <c r="N83" s="204"/>
      <c r="O83" s="206"/>
      <c r="P83" s="2"/>
      <c r="Q83" s="2"/>
      <c r="R83" s="2"/>
      <c r="S83" s="2"/>
      <c r="T83" s="2"/>
      <c r="U83" s="2"/>
      <c r="V83" s="2"/>
      <c r="W83" s="2"/>
      <c r="X83" s="2"/>
      <c r="Y83" s="2"/>
      <c r="Z83" s="2"/>
      <c r="AA83" s="2"/>
      <c r="AB83" s="2"/>
    </row>
    <row r="84" spans="1:28" s="66" customFormat="1" ht="15.75" thickBot="1">
      <c r="A84" s="199"/>
      <c r="B84" s="201"/>
      <c r="C84" s="100" t="s">
        <v>305</v>
      </c>
      <c r="D84" s="99"/>
      <c r="E84" s="100" t="s">
        <v>305</v>
      </c>
      <c r="F84" s="99"/>
      <c r="G84" s="97" t="s">
        <v>305</v>
      </c>
      <c r="H84" s="103"/>
      <c r="I84" s="97" t="s">
        <v>305</v>
      </c>
      <c r="J84" s="106"/>
      <c r="K84" s="97" t="s">
        <v>305</v>
      </c>
      <c r="L84" s="106"/>
      <c r="M84" s="207" t="s">
        <v>305</v>
      </c>
      <c r="N84" s="208"/>
      <c r="O84" s="206"/>
      <c r="P84" s="2"/>
      <c r="Q84" s="2"/>
      <c r="R84" s="2"/>
      <c r="S84" s="2"/>
      <c r="T84" s="2"/>
      <c r="U84" s="2"/>
      <c r="V84" s="2"/>
      <c r="W84" s="2"/>
      <c r="X84" s="2"/>
      <c r="Y84" s="2"/>
      <c r="Z84" s="2"/>
      <c r="AA84" s="2"/>
      <c r="AB84" s="2"/>
    </row>
    <row r="85" spans="1:28" s="66" customFormat="1">
      <c r="A85" s="199"/>
      <c r="B85" s="201"/>
      <c r="C85" s="72" t="s">
        <v>288</v>
      </c>
      <c r="D85" s="69" t="s">
        <v>317</v>
      </c>
      <c r="E85" s="72" t="s">
        <v>288</v>
      </c>
      <c r="F85" s="69" t="s">
        <v>317</v>
      </c>
      <c r="G85" s="72" t="s">
        <v>288</v>
      </c>
      <c r="H85" s="69" t="s">
        <v>317</v>
      </c>
      <c r="I85" s="72" t="s">
        <v>288</v>
      </c>
      <c r="J85" s="69" t="s">
        <v>310</v>
      </c>
      <c r="K85" s="72" t="s">
        <v>288</v>
      </c>
      <c r="L85" s="69" t="s">
        <v>317</v>
      </c>
      <c r="M85" s="207"/>
      <c r="N85" s="208"/>
      <c r="O85" s="206"/>
      <c r="P85" s="2"/>
      <c r="Q85" s="2"/>
      <c r="R85" s="2"/>
      <c r="S85" s="2"/>
      <c r="T85" s="2"/>
      <c r="U85" s="2"/>
      <c r="V85" s="2"/>
      <c r="W85" s="2"/>
      <c r="X85" s="2"/>
      <c r="Y85" s="2"/>
      <c r="Z85" s="2"/>
      <c r="AA85" s="2"/>
      <c r="AB85" s="2"/>
    </row>
    <row r="86" spans="1:28" s="66" customFormat="1" ht="15.75" thickBot="1">
      <c r="A86" s="199"/>
      <c r="B86" s="201"/>
      <c r="C86" s="100" t="s">
        <v>305</v>
      </c>
      <c r="D86" s="99"/>
      <c r="E86" s="100" t="s">
        <v>305</v>
      </c>
      <c r="F86" s="99"/>
      <c r="G86" s="97" t="s">
        <v>305</v>
      </c>
      <c r="H86" s="106"/>
      <c r="I86" s="97" t="s">
        <v>305</v>
      </c>
      <c r="J86" s="106"/>
      <c r="K86" s="97" t="s">
        <v>305</v>
      </c>
      <c r="L86" s="106"/>
      <c r="M86" s="207"/>
      <c r="N86" s="208"/>
      <c r="O86" s="206"/>
      <c r="P86" s="2"/>
      <c r="Q86" s="2"/>
      <c r="R86" s="2"/>
      <c r="S86" s="2"/>
      <c r="T86" s="2"/>
      <c r="U86" s="2"/>
      <c r="V86" s="2"/>
      <c r="W86" s="2"/>
      <c r="X86" s="2"/>
      <c r="Y86" s="2"/>
      <c r="Z86" s="2"/>
      <c r="AA86" s="2"/>
      <c r="AB86" s="2"/>
    </row>
    <row r="87" spans="1:28" s="66" customFormat="1" ht="15" customHeight="1">
      <c r="A87" s="199"/>
      <c r="B87" s="201"/>
      <c r="C87" s="209" t="s">
        <v>306</v>
      </c>
      <c r="D87" s="211" t="e">
        <f>SUM(Смета_лит.Е!#REF!)</f>
        <v>#REF!</v>
      </c>
      <c r="E87" s="209" t="s">
        <v>306</v>
      </c>
      <c r="F87" s="213" t="e">
        <f>D87*35%</f>
        <v>#REF!</v>
      </c>
      <c r="G87" s="104" t="s">
        <v>315</v>
      </c>
      <c r="H87" s="73" t="s">
        <v>295</v>
      </c>
      <c r="I87" s="98" t="s">
        <v>315</v>
      </c>
      <c r="J87" s="80" t="s">
        <v>6</v>
      </c>
      <c r="K87" s="98" t="s">
        <v>315</v>
      </c>
      <c r="L87" s="83"/>
      <c r="M87" s="207"/>
      <c r="N87" s="208"/>
      <c r="O87" s="206"/>
      <c r="P87" s="2"/>
      <c r="Q87" s="2"/>
      <c r="R87" s="2"/>
      <c r="S87" s="2"/>
      <c r="T87" s="2"/>
      <c r="U87" s="2"/>
      <c r="V87" s="2"/>
      <c r="W87" s="2"/>
      <c r="X87" s="2"/>
      <c r="Y87" s="2"/>
      <c r="Z87" s="2"/>
      <c r="AA87" s="2"/>
      <c r="AB87" s="2"/>
    </row>
    <row r="88" spans="1:28" s="66" customFormat="1" ht="15.75" thickBot="1">
      <c r="A88" s="199"/>
      <c r="B88" s="201"/>
      <c r="C88" s="210"/>
      <c r="D88" s="212"/>
      <c r="E88" s="210"/>
      <c r="F88" s="214"/>
      <c r="G88" s="107" t="s">
        <v>316</v>
      </c>
      <c r="H88" s="116">
        <v>75360</v>
      </c>
      <c r="I88" s="107" t="s">
        <v>316</v>
      </c>
      <c r="J88" s="116">
        <v>85334</v>
      </c>
      <c r="K88" s="107" t="s">
        <v>316</v>
      </c>
      <c r="L88" s="116"/>
      <c r="M88" s="207"/>
      <c r="N88" s="208"/>
      <c r="O88" s="206"/>
      <c r="P88" s="2"/>
      <c r="Q88" s="2"/>
      <c r="R88" s="2"/>
      <c r="S88" s="2"/>
      <c r="T88" s="2"/>
      <c r="U88" s="2"/>
      <c r="V88" s="2"/>
      <c r="W88" s="2"/>
      <c r="X88" s="2"/>
      <c r="Y88" s="2"/>
      <c r="Z88" s="2"/>
      <c r="AA88" s="2"/>
      <c r="AB88" s="2"/>
    </row>
    <row r="89" spans="1:28" s="66" customFormat="1" ht="20.25" customHeight="1" thickBot="1">
      <c r="A89" s="193"/>
      <c r="B89" s="194"/>
      <c r="C89" s="194"/>
      <c r="D89" s="194"/>
      <c r="E89" s="194"/>
      <c r="F89" s="194"/>
      <c r="G89" s="194"/>
      <c r="H89" s="194"/>
      <c r="I89" s="194"/>
      <c r="J89" s="194"/>
      <c r="K89" s="194"/>
      <c r="L89" s="194"/>
      <c r="M89" s="194"/>
      <c r="N89" s="194"/>
      <c r="O89" s="195"/>
      <c r="P89" s="2"/>
      <c r="Q89" s="2"/>
      <c r="R89" s="2"/>
      <c r="S89" s="2"/>
      <c r="T89" s="2"/>
      <c r="U89" s="2"/>
      <c r="V89" s="2"/>
      <c r="W89" s="2"/>
      <c r="X89" s="2"/>
      <c r="Y89" s="2"/>
      <c r="Z89" s="2"/>
      <c r="AA89" s="2"/>
      <c r="AB89" s="2"/>
    </row>
    <row r="90" spans="1:28" s="66" customFormat="1">
      <c r="A90" s="198">
        <v>8</v>
      </c>
      <c r="B90" s="200" t="s">
        <v>321</v>
      </c>
      <c r="C90" s="72" t="s">
        <v>288</v>
      </c>
      <c r="D90" s="69" t="s">
        <v>317</v>
      </c>
      <c r="E90" s="72" t="s">
        <v>288</v>
      </c>
      <c r="F90" s="69" t="s">
        <v>317</v>
      </c>
      <c r="G90" s="72" t="s">
        <v>288</v>
      </c>
      <c r="H90" s="69" t="s">
        <v>317</v>
      </c>
      <c r="I90" s="72" t="s">
        <v>288</v>
      </c>
      <c r="J90" s="69" t="s">
        <v>317</v>
      </c>
      <c r="K90" s="72" t="s">
        <v>288</v>
      </c>
      <c r="L90" s="69" t="s">
        <v>317</v>
      </c>
      <c r="M90" s="202" t="s">
        <v>288</v>
      </c>
      <c r="N90" s="202" t="s">
        <v>320</v>
      </c>
      <c r="O90" s="205"/>
      <c r="P90" s="2"/>
      <c r="Q90" s="2"/>
      <c r="R90" s="2"/>
      <c r="S90" s="2"/>
      <c r="T90" s="2"/>
      <c r="U90" s="2"/>
      <c r="V90" s="2"/>
      <c r="W90" s="2"/>
      <c r="X90" s="2"/>
      <c r="Y90" s="2"/>
      <c r="Z90" s="2"/>
      <c r="AA90" s="2"/>
      <c r="AB90" s="2"/>
    </row>
    <row r="91" spans="1:28" s="66" customFormat="1" ht="15.75" thickBot="1">
      <c r="A91" s="199"/>
      <c r="B91" s="201"/>
      <c r="C91" s="78" t="s">
        <v>305</v>
      </c>
      <c r="D91" s="77"/>
      <c r="E91" s="78" t="s">
        <v>305</v>
      </c>
      <c r="F91" s="77"/>
      <c r="G91" s="97" t="s">
        <v>305</v>
      </c>
      <c r="H91" s="102"/>
      <c r="I91" s="97" t="s">
        <v>305</v>
      </c>
      <c r="J91" s="109"/>
      <c r="K91" s="97" t="s">
        <v>305</v>
      </c>
      <c r="L91" s="109"/>
      <c r="M91" s="203"/>
      <c r="N91" s="203"/>
      <c r="O91" s="206"/>
      <c r="P91" s="2"/>
      <c r="Q91" s="2"/>
      <c r="R91" s="2"/>
      <c r="S91" s="2"/>
      <c r="T91" s="2"/>
      <c r="U91" s="2"/>
      <c r="V91" s="2"/>
      <c r="W91" s="2"/>
      <c r="X91" s="2"/>
      <c r="Y91" s="2"/>
      <c r="Z91" s="2"/>
      <c r="AA91" s="2"/>
      <c r="AB91" s="2"/>
    </row>
    <row r="92" spans="1:28" s="66" customFormat="1">
      <c r="A92" s="199"/>
      <c r="B92" s="201"/>
      <c r="C92" s="72" t="s">
        <v>288</v>
      </c>
      <c r="D92" s="69" t="s">
        <v>317</v>
      </c>
      <c r="E92" s="72" t="s">
        <v>288</v>
      </c>
      <c r="F92" s="69" t="s">
        <v>317</v>
      </c>
      <c r="G92" s="72" t="s">
        <v>288</v>
      </c>
      <c r="H92" s="69" t="s">
        <v>317</v>
      </c>
      <c r="I92" s="72" t="s">
        <v>288</v>
      </c>
      <c r="J92" s="69" t="s">
        <v>317</v>
      </c>
      <c r="K92" s="72" t="s">
        <v>288</v>
      </c>
      <c r="L92" s="69" t="s">
        <v>317</v>
      </c>
      <c r="M92" s="203"/>
      <c r="N92" s="203"/>
      <c r="O92" s="206"/>
      <c r="P92" s="2"/>
      <c r="Q92" s="2"/>
      <c r="R92" s="2"/>
      <c r="S92" s="2"/>
      <c r="T92" s="2"/>
      <c r="U92" s="2"/>
      <c r="V92" s="2"/>
      <c r="W92" s="2"/>
      <c r="X92" s="2"/>
      <c r="Y92" s="2"/>
      <c r="Z92" s="2"/>
      <c r="AA92" s="2"/>
      <c r="AB92" s="2"/>
    </row>
    <row r="93" spans="1:28" s="66" customFormat="1" ht="15.75" thickBot="1">
      <c r="A93" s="199"/>
      <c r="B93" s="201"/>
      <c r="C93" s="100" t="s">
        <v>305</v>
      </c>
      <c r="D93" s="77"/>
      <c r="E93" s="100" t="s">
        <v>305</v>
      </c>
      <c r="F93" s="77"/>
      <c r="G93" s="97" t="s">
        <v>305</v>
      </c>
      <c r="H93" s="103"/>
      <c r="I93" s="97" t="s">
        <v>305</v>
      </c>
      <c r="J93" s="106"/>
      <c r="K93" s="97" t="s">
        <v>305</v>
      </c>
      <c r="L93" s="106"/>
      <c r="M93" s="203"/>
      <c r="N93" s="203"/>
      <c r="O93" s="206"/>
      <c r="P93" s="2"/>
      <c r="Q93" s="2"/>
      <c r="R93" s="2"/>
      <c r="S93" s="2"/>
      <c r="T93" s="2"/>
      <c r="U93" s="2"/>
      <c r="V93" s="2"/>
      <c r="W93" s="2"/>
      <c r="X93" s="2"/>
      <c r="Y93" s="2"/>
      <c r="Z93" s="2"/>
      <c r="AA93" s="2"/>
      <c r="AB93" s="2"/>
    </row>
    <row r="94" spans="1:28" s="66" customFormat="1" ht="15.75" thickBot="1">
      <c r="A94" s="199"/>
      <c r="B94" s="201"/>
      <c r="C94" s="72" t="s">
        <v>288</v>
      </c>
      <c r="D94" s="69" t="s">
        <v>317</v>
      </c>
      <c r="E94" s="72" t="s">
        <v>288</v>
      </c>
      <c r="F94" s="69" t="s">
        <v>317</v>
      </c>
      <c r="G94" s="72" t="s">
        <v>288</v>
      </c>
      <c r="H94" s="69" t="s">
        <v>317</v>
      </c>
      <c r="I94" s="72" t="s">
        <v>288</v>
      </c>
      <c r="J94" s="69" t="s">
        <v>317</v>
      </c>
      <c r="K94" s="72" t="s">
        <v>288</v>
      </c>
      <c r="L94" s="69" t="s">
        <v>317</v>
      </c>
      <c r="M94" s="204"/>
      <c r="N94" s="204"/>
      <c r="O94" s="206"/>
      <c r="P94" s="2"/>
      <c r="Q94" s="2"/>
      <c r="R94" s="2"/>
      <c r="S94" s="2"/>
      <c r="T94" s="2"/>
      <c r="U94" s="2"/>
      <c r="V94" s="2"/>
      <c r="W94" s="2"/>
      <c r="X94" s="2"/>
      <c r="Y94" s="2"/>
      <c r="Z94" s="2"/>
      <c r="AA94" s="2"/>
      <c r="AB94" s="2"/>
    </row>
    <row r="95" spans="1:28" s="66" customFormat="1" ht="15.75" thickBot="1">
      <c r="A95" s="199"/>
      <c r="B95" s="201"/>
      <c r="C95" s="100" t="s">
        <v>305</v>
      </c>
      <c r="D95" s="99"/>
      <c r="E95" s="100" t="s">
        <v>305</v>
      </c>
      <c r="F95" s="99"/>
      <c r="G95" s="97" t="s">
        <v>305</v>
      </c>
      <c r="H95" s="103"/>
      <c r="I95" s="97" t="s">
        <v>305</v>
      </c>
      <c r="J95" s="106"/>
      <c r="K95" s="97" t="s">
        <v>305</v>
      </c>
      <c r="L95" s="106"/>
      <c r="M95" s="207" t="s">
        <v>305</v>
      </c>
      <c r="N95" s="208"/>
      <c r="O95" s="206"/>
      <c r="P95" s="2"/>
      <c r="Q95" s="2"/>
      <c r="R95" s="2"/>
      <c r="S95" s="2"/>
      <c r="T95" s="2"/>
      <c r="U95" s="2"/>
      <c r="V95" s="2"/>
      <c r="W95" s="2"/>
      <c r="X95" s="2"/>
      <c r="Y95" s="2"/>
      <c r="Z95" s="2"/>
      <c r="AA95" s="2"/>
      <c r="AB95" s="2"/>
    </row>
    <row r="96" spans="1:28" s="66" customFormat="1">
      <c r="A96" s="199"/>
      <c r="B96" s="201"/>
      <c r="C96" s="72" t="s">
        <v>288</v>
      </c>
      <c r="D96" s="69" t="s">
        <v>317</v>
      </c>
      <c r="E96" s="72" t="s">
        <v>288</v>
      </c>
      <c r="F96" s="69" t="s">
        <v>317</v>
      </c>
      <c r="G96" s="72" t="s">
        <v>288</v>
      </c>
      <c r="H96" s="69" t="s">
        <v>317</v>
      </c>
      <c r="I96" s="72" t="s">
        <v>288</v>
      </c>
      <c r="J96" s="69" t="s">
        <v>317</v>
      </c>
      <c r="K96" s="72" t="s">
        <v>288</v>
      </c>
      <c r="L96" s="69" t="s">
        <v>317</v>
      </c>
      <c r="M96" s="207"/>
      <c r="N96" s="208"/>
      <c r="O96" s="206"/>
      <c r="P96" s="2"/>
      <c r="Q96" s="2"/>
      <c r="R96" s="2"/>
      <c r="S96" s="2"/>
      <c r="T96" s="2"/>
      <c r="U96" s="2"/>
      <c r="V96" s="2"/>
      <c r="W96" s="2"/>
      <c r="X96" s="2"/>
      <c r="Y96" s="2"/>
      <c r="Z96" s="2"/>
      <c r="AA96" s="2"/>
      <c r="AB96" s="2"/>
    </row>
    <row r="97" spans="1:28" s="66" customFormat="1" ht="15.75" thickBot="1">
      <c r="A97" s="199"/>
      <c r="B97" s="201"/>
      <c r="C97" s="100" t="s">
        <v>305</v>
      </c>
      <c r="D97" s="99"/>
      <c r="E97" s="100" t="s">
        <v>305</v>
      </c>
      <c r="F97" s="99"/>
      <c r="G97" s="97" t="s">
        <v>305</v>
      </c>
      <c r="H97" s="106"/>
      <c r="I97" s="97" t="s">
        <v>305</v>
      </c>
      <c r="J97" s="106"/>
      <c r="K97" s="97" t="s">
        <v>305</v>
      </c>
      <c r="L97" s="106"/>
      <c r="M97" s="207"/>
      <c r="N97" s="208"/>
      <c r="O97" s="206"/>
      <c r="P97" s="2"/>
      <c r="Q97" s="2"/>
      <c r="R97" s="2"/>
      <c r="S97" s="2"/>
      <c r="T97" s="2"/>
      <c r="U97" s="2"/>
      <c r="V97" s="2"/>
      <c r="W97" s="2"/>
      <c r="X97" s="2"/>
      <c r="Y97" s="2"/>
      <c r="Z97" s="2"/>
      <c r="AA97" s="2"/>
      <c r="AB97" s="2"/>
    </row>
    <row r="98" spans="1:28" s="66" customFormat="1" ht="15" customHeight="1">
      <c r="A98" s="199"/>
      <c r="B98" s="201"/>
      <c r="C98" s="209" t="s">
        <v>306</v>
      </c>
      <c r="D98" s="211" t="e">
        <f>SUM(Смета_лит.Е!#REF!)</f>
        <v>#REF!</v>
      </c>
      <c r="E98" s="209" t="s">
        <v>306</v>
      </c>
      <c r="F98" s="213" t="e">
        <f>D98*35%</f>
        <v>#REF!</v>
      </c>
      <c r="G98" s="104" t="s">
        <v>315</v>
      </c>
      <c r="H98" s="187" t="s">
        <v>295</v>
      </c>
      <c r="I98" s="98" t="s">
        <v>315</v>
      </c>
      <c r="J98" s="189" t="s">
        <v>360</v>
      </c>
      <c r="K98" s="98" t="s">
        <v>315</v>
      </c>
      <c r="L98" s="135" t="s">
        <v>361</v>
      </c>
      <c r="M98" s="207"/>
      <c r="N98" s="208"/>
      <c r="O98" s="206"/>
      <c r="P98" s="2"/>
      <c r="Q98" s="2"/>
      <c r="R98" s="2"/>
      <c r="S98" s="2"/>
      <c r="T98" s="2"/>
      <c r="U98" s="2"/>
      <c r="V98" s="2"/>
      <c r="W98" s="2"/>
      <c r="X98" s="2"/>
      <c r="Y98" s="2"/>
      <c r="Z98" s="2"/>
      <c r="AA98" s="2"/>
      <c r="AB98" s="2"/>
    </row>
    <row r="99" spans="1:28" s="66" customFormat="1" ht="15.75" thickBot="1">
      <c r="A99" s="199"/>
      <c r="B99" s="201"/>
      <c r="C99" s="210"/>
      <c r="D99" s="212"/>
      <c r="E99" s="210"/>
      <c r="F99" s="214"/>
      <c r="G99" s="107" t="s">
        <v>316</v>
      </c>
      <c r="H99" s="188">
        <v>87600</v>
      </c>
      <c r="I99" s="107" t="s">
        <v>316</v>
      </c>
      <c r="J99" s="190">
        <v>117831.6</v>
      </c>
      <c r="K99" s="107" t="s">
        <v>316</v>
      </c>
      <c r="L99" s="190">
        <v>114160</v>
      </c>
      <c r="M99" s="207"/>
      <c r="N99" s="208"/>
      <c r="O99" s="206"/>
      <c r="P99" s="2"/>
      <c r="Q99" s="2"/>
      <c r="R99" s="2"/>
      <c r="S99" s="2"/>
      <c r="T99" s="2"/>
      <c r="U99" s="2"/>
      <c r="V99" s="2"/>
      <c r="W99" s="2"/>
      <c r="X99" s="2"/>
      <c r="Y99" s="2"/>
      <c r="Z99" s="2"/>
      <c r="AA99" s="2"/>
      <c r="AB99" s="2"/>
    </row>
    <row r="100" spans="1:28" s="66" customFormat="1" ht="37.5" customHeight="1" thickBot="1">
      <c r="A100" s="193"/>
      <c r="B100" s="194"/>
      <c r="C100" s="194"/>
      <c r="D100" s="194"/>
      <c r="E100" s="194"/>
      <c r="F100" s="194"/>
      <c r="G100" s="194"/>
      <c r="H100" s="194"/>
      <c r="I100" s="194"/>
      <c r="J100" s="194"/>
      <c r="K100" s="194"/>
      <c r="L100" s="194"/>
      <c r="M100" s="194"/>
      <c r="N100" s="194"/>
      <c r="O100" s="195"/>
      <c r="P100" s="2"/>
      <c r="Q100" s="2"/>
      <c r="R100" s="2"/>
      <c r="S100" s="2"/>
      <c r="T100" s="2"/>
      <c r="U100" s="2"/>
      <c r="V100" s="2"/>
      <c r="W100" s="2"/>
      <c r="X100" s="2"/>
      <c r="Y100" s="2"/>
      <c r="Z100" s="2"/>
      <c r="AA100" s="2"/>
      <c r="AB100" s="2"/>
    </row>
    <row r="101" spans="1:28" s="66" customFormat="1">
      <c r="A101" s="198">
        <v>9</v>
      </c>
      <c r="B101" s="200" t="s">
        <v>323</v>
      </c>
      <c r="C101" s="72" t="s">
        <v>288</v>
      </c>
      <c r="D101" s="69" t="s">
        <v>317</v>
      </c>
      <c r="E101" s="72" t="s">
        <v>288</v>
      </c>
      <c r="F101" s="69" t="s">
        <v>317</v>
      </c>
      <c r="G101" s="72" t="s">
        <v>288</v>
      </c>
      <c r="H101" s="69" t="s">
        <v>308</v>
      </c>
      <c r="I101" s="72" t="s">
        <v>288</v>
      </c>
      <c r="J101" s="69" t="s">
        <v>327</v>
      </c>
      <c r="K101" s="72" t="s">
        <v>288</v>
      </c>
      <c r="L101" s="69" t="s">
        <v>327</v>
      </c>
      <c r="M101" s="202" t="s">
        <v>288</v>
      </c>
      <c r="N101" s="202" t="s">
        <v>320</v>
      </c>
      <c r="O101" s="205" t="s">
        <v>331</v>
      </c>
      <c r="P101" s="2"/>
      <c r="Q101" s="2"/>
      <c r="R101" s="2"/>
      <c r="S101" s="2"/>
      <c r="T101" s="2"/>
      <c r="U101" s="2"/>
      <c r="V101" s="2"/>
      <c r="W101" s="2"/>
      <c r="X101" s="2"/>
      <c r="Y101" s="2"/>
      <c r="Z101" s="2"/>
      <c r="AA101" s="2"/>
      <c r="AB101" s="2"/>
    </row>
    <row r="102" spans="1:28" s="66" customFormat="1" ht="15.75" thickBot="1">
      <c r="A102" s="199"/>
      <c r="B102" s="201"/>
      <c r="C102" s="78" t="s">
        <v>305</v>
      </c>
      <c r="D102" s="77"/>
      <c r="E102" s="78" t="s">
        <v>305</v>
      </c>
      <c r="F102" s="77"/>
      <c r="G102" s="97" t="s">
        <v>305</v>
      </c>
      <c r="H102" s="126">
        <v>44964</v>
      </c>
      <c r="I102" s="97" t="s">
        <v>305</v>
      </c>
      <c r="J102" s="127">
        <v>44964</v>
      </c>
      <c r="K102" s="97" t="s">
        <v>305</v>
      </c>
      <c r="L102" s="127">
        <v>44964</v>
      </c>
      <c r="M102" s="203"/>
      <c r="N102" s="203"/>
      <c r="O102" s="206"/>
      <c r="P102" s="2"/>
      <c r="Q102" s="2"/>
      <c r="R102" s="2"/>
      <c r="S102" s="2"/>
      <c r="T102" s="2"/>
      <c r="U102" s="2"/>
      <c r="V102" s="2"/>
      <c r="W102" s="2"/>
      <c r="X102" s="2"/>
      <c r="Y102" s="2"/>
      <c r="Z102" s="2"/>
      <c r="AA102" s="2"/>
      <c r="AB102" s="2"/>
    </row>
    <row r="103" spans="1:28" s="66" customFormat="1">
      <c r="A103" s="199"/>
      <c r="B103" s="201"/>
      <c r="C103" s="72" t="s">
        <v>288</v>
      </c>
      <c r="D103" s="69" t="s">
        <v>317</v>
      </c>
      <c r="E103" s="72" t="s">
        <v>288</v>
      </c>
      <c r="F103" s="69" t="s">
        <v>317</v>
      </c>
      <c r="G103" s="72" t="s">
        <v>288</v>
      </c>
      <c r="H103" s="69" t="s">
        <v>311</v>
      </c>
      <c r="I103" s="72" t="s">
        <v>288</v>
      </c>
      <c r="J103" s="69" t="s">
        <v>307</v>
      </c>
      <c r="K103" s="72" t="s">
        <v>288</v>
      </c>
      <c r="L103" s="69" t="s">
        <v>307</v>
      </c>
      <c r="M103" s="203"/>
      <c r="N103" s="203"/>
      <c r="O103" s="206"/>
      <c r="P103" s="2"/>
      <c r="Q103" s="2"/>
      <c r="R103" s="2"/>
      <c r="S103" s="2"/>
      <c r="T103" s="2"/>
      <c r="U103" s="2"/>
      <c r="V103" s="2"/>
      <c r="W103" s="2"/>
      <c r="X103" s="2"/>
      <c r="Y103" s="2"/>
      <c r="Z103" s="2"/>
      <c r="AA103" s="2"/>
      <c r="AB103" s="2"/>
    </row>
    <row r="104" spans="1:28" s="66" customFormat="1" ht="15.75" thickBot="1">
      <c r="A104" s="199"/>
      <c r="B104" s="201"/>
      <c r="C104" s="100" t="s">
        <v>305</v>
      </c>
      <c r="D104" s="77"/>
      <c r="E104" s="100" t="s">
        <v>305</v>
      </c>
      <c r="F104" s="77"/>
      <c r="G104" s="97" t="s">
        <v>305</v>
      </c>
      <c r="H104" s="129">
        <v>44967</v>
      </c>
      <c r="I104" s="97" t="s">
        <v>305</v>
      </c>
      <c r="J104" s="128">
        <v>44970</v>
      </c>
      <c r="K104" s="97" t="s">
        <v>305</v>
      </c>
      <c r="L104" s="128">
        <v>44964</v>
      </c>
      <c r="M104" s="203"/>
      <c r="N104" s="203"/>
      <c r="O104" s="206"/>
      <c r="P104" s="2"/>
      <c r="Q104" s="2"/>
      <c r="R104" s="2"/>
      <c r="S104" s="2"/>
      <c r="T104" s="2"/>
      <c r="U104" s="2"/>
      <c r="V104" s="2"/>
      <c r="W104" s="2"/>
      <c r="X104" s="2"/>
      <c r="Y104" s="2"/>
      <c r="Z104" s="2"/>
      <c r="AA104" s="2"/>
      <c r="AB104" s="2"/>
    </row>
    <row r="105" spans="1:28" s="66" customFormat="1" ht="15.75" thickBot="1">
      <c r="A105" s="199"/>
      <c r="B105" s="201"/>
      <c r="C105" s="72" t="s">
        <v>288</v>
      </c>
      <c r="D105" s="69" t="s">
        <v>317</v>
      </c>
      <c r="E105" s="72" t="s">
        <v>288</v>
      </c>
      <c r="F105" s="69" t="s">
        <v>317</v>
      </c>
      <c r="G105" s="72" t="s">
        <v>288</v>
      </c>
      <c r="H105" s="69" t="s">
        <v>317</v>
      </c>
      <c r="I105" s="72" t="s">
        <v>288</v>
      </c>
      <c r="J105" s="69" t="s">
        <v>327</v>
      </c>
      <c r="K105" s="72" t="s">
        <v>288</v>
      </c>
      <c r="L105" s="69" t="s">
        <v>307</v>
      </c>
      <c r="M105" s="204"/>
      <c r="N105" s="204"/>
      <c r="O105" s="206"/>
      <c r="P105" s="2"/>
      <c r="Q105" s="2"/>
      <c r="R105" s="2"/>
      <c r="S105" s="2"/>
      <c r="T105" s="2"/>
      <c r="U105" s="2"/>
      <c r="V105" s="2"/>
      <c r="W105" s="2"/>
      <c r="X105" s="2"/>
      <c r="Y105" s="2"/>
      <c r="Z105" s="2"/>
      <c r="AA105" s="2"/>
      <c r="AB105" s="2"/>
    </row>
    <row r="106" spans="1:28" s="66" customFormat="1" ht="15.75" thickBot="1">
      <c r="A106" s="199"/>
      <c r="B106" s="201"/>
      <c r="C106" s="100" t="s">
        <v>305</v>
      </c>
      <c r="D106" s="99"/>
      <c r="E106" s="100" t="s">
        <v>305</v>
      </c>
      <c r="F106" s="99"/>
      <c r="G106" s="97" t="s">
        <v>305</v>
      </c>
      <c r="H106" s="103"/>
      <c r="I106" s="97" t="s">
        <v>305</v>
      </c>
      <c r="J106" s="128">
        <v>44970</v>
      </c>
      <c r="K106" s="97" t="s">
        <v>305</v>
      </c>
      <c r="L106" s="128">
        <v>44970</v>
      </c>
      <c r="M106" s="207" t="s">
        <v>305</v>
      </c>
      <c r="N106" s="208"/>
      <c r="O106" s="206"/>
      <c r="P106" s="2"/>
      <c r="Q106" s="2"/>
      <c r="R106" s="2"/>
      <c r="S106" s="2"/>
      <c r="T106" s="2"/>
      <c r="U106" s="2"/>
      <c r="V106" s="2"/>
      <c r="W106" s="2"/>
      <c r="X106" s="2"/>
      <c r="Y106" s="2"/>
      <c r="Z106" s="2"/>
      <c r="AA106" s="2"/>
      <c r="AB106" s="2"/>
    </row>
    <row r="107" spans="1:28" s="66" customFormat="1">
      <c r="A107" s="199"/>
      <c r="B107" s="201"/>
      <c r="C107" s="72" t="s">
        <v>288</v>
      </c>
      <c r="D107" s="69" t="s">
        <v>317</v>
      </c>
      <c r="E107" s="72" t="s">
        <v>288</v>
      </c>
      <c r="F107" s="69" t="s">
        <v>317</v>
      </c>
      <c r="G107" s="72" t="s">
        <v>288</v>
      </c>
      <c r="H107" s="69" t="s">
        <v>317</v>
      </c>
      <c r="I107" s="72" t="s">
        <v>288</v>
      </c>
      <c r="J107" s="69" t="s">
        <v>317</v>
      </c>
      <c r="K107" s="72" t="s">
        <v>288</v>
      </c>
      <c r="L107" s="69" t="s">
        <v>327</v>
      </c>
      <c r="M107" s="207"/>
      <c r="N107" s="208"/>
      <c r="O107" s="206"/>
      <c r="P107" s="2"/>
      <c r="Q107" s="2"/>
      <c r="R107" s="2"/>
      <c r="S107" s="2"/>
      <c r="T107" s="2"/>
      <c r="U107" s="2"/>
      <c r="V107" s="2"/>
      <c r="W107" s="2"/>
      <c r="X107" s="2"/>
      <c r="Y107" s="2"/>
      <c r="Z107" s="2"/>
      <c r="AA107" s="2"/>
      <c r="AB107" s="2"/>
    </row>
    <row r="108" spans="1:28" s="66" customFormat="1" ht="15.75" thickBot="1">
      <c r="A108" s="199"/>
      <c r="B108" s="201"/>
      <c r="C108" s="100" t="s">
        <v>305</v>
      </c>
      <c r="D108" s="99"/>
      <c r="E108" s="100" t="s">
        <v>305</v>
      </c>
      <c r="F108" s="99"/>
      <c r="G108" s="97" t="s">
        <v>305</v>
      </c>
      <c r="H108" s="106"/>
      <c r="I108" s="97" t="s">
        <v>305</v>
      </c>
      <c r="J108" s="131"/>
      <c r="K108" s="97" t="s">
        <v>305</v>
      </c>
      <c r="L108" s="128">
        <v>44970</v>
      </c>
      <c r="M108" s="207"/>
      <c r="N108" s="208"/>
      <c r="O108" s="206"/>
      <c r="P108" s="2"/>
      <c r="Q108" s="2"/>
      <c r="R108" s="2"/>
      <c r="S108" s="2"/>
      <c r="T108" s="2"/>
      <c r="U108" s="2"/>
      <c r="V108" s="2"/>
      <c r="W108" s="2"/>
      <c r="X108" s="2"/>
      <c r="Y108" s="2"/>
      <c r="Z108" s="2"/>
      <c r="AA108" s="2"/>
      <c r="AB108" s="2"/>
    </row>
    <row r="109" spans="1:28" s="66" customFormat="1" ht="33.75" customHeight="1">
      <c r="A109" s="199"/>
      <c r="B109" s="201"/>
      <c r="C109" s="209" t="s">
        <v>306</v>
      </c>
      <c r="D109" s="211">
        <v>160000</v>
      </c>
      <c r="E109" s="209" t="s">
        <v>306</v>
      </c>
      <c r="F109" s="213"/>
      <c r="G109" s="104" t="s">
        <v>315</v>
      </c>
      <c r="H109" s="73" t="s">
        <v>325</v>
      </c>
      <c r="I109" s="98" t="s">
        <v>315</v>
      </c>
      <c r="J109" s="80" t="s">
        <v>326</v>
      </c>
      <c r="K109" s="98" t="s">
        <v>315</v>
      </c>
      <c r="L109" s="83" t="s">
        <v>328</v>
      </c>
      <c r="M109" s="207"/>
      <c r="N109" s="208"/>
      <c r="O109" s="206"/>
      <c r="P109" s="2"/>
      <c r="Q109" s="2"/>
      <c r="R109" s="2"/>
      <c r="S109" s="2"/>
      <c r="T109" s="2"/>
      <c r="U109" s="2"/>
      <c r="V109" s="2"/>
      <c r="W109" s="2"/>
      <c r="X109" s="2"/>
      <c r="Y109" s="2"/>
      <c r="Z109" s="2"/>
      <c r="AA109" s="2"/>
      <c r="AB109" s="2"/>
    </row>
    <row r="110" spans="1:28" s="66" customFormat="1" ht="15.75" thickBot="1">
      <c r="A110" s="199"/>
      <c r="B110" s="201"/>
      <c r="C110" s="210"/>
      <c r="D110" s="212"/>
      <c r="E110" s="210"/>
      <c r="F110" s="214"/>
      <c r="G110" s="107" t="s">
        <v>316</v>
      </c>
      <c r="H110" s="133">
        <v>96985</v>
      </c>
      <c r="I110" s="107" t="s">
        <v>316</v>
      </c>
      <c r="J110" s="132">
        <v>151153</v>
      </c>
      <c r="K110" s="107" t="s">
        <v>316</v>
      </c>
      <c r="L110" s="132">
        <v>128582</v>
      </c>
      <c r="M110" s="207"/>
      <c r="N110" s="208"/>
      <c r="O110" s="206"/>
      <c r="P110" s="2"/>
      <c r="Q110" s="2"/>
      <c r="R110" s="2"/>
      <c r="S110" s="2"/>
      <c r="T110" s="2"/>
      <c r="U110" s="2"/>
      <c r="V110" s="2"/>
      <c r="W110" s="2"/>
      <c r="X110" s="2"/>
      <c r="Y110" s="2"/>
      <c r="Z110" s="2"/>
      <c r="AA110" s="2"/>
      <c r="AB110" s="2"/>
    </row>
    <row r="111" spans="1:28" s="66" customFormat="1" ht="15.75" thickBot="1">
      <c r="A111" s="193"/>
      <c r="B111" s="194"/>
      <c r="C111" s="194"/>
      <c r="D111" s="194"/>
      <c r="E111" s="194"/>
      <c r="F111" s="194"/>
      <c r="G111" s="194"/>
      <c r="H111" s="194"/>
      <c r="I111" s="194"/>
      <c r="J111" s="194"/>
      <c r="K111" s="194"/>
      <c r="L111" s="194"/>
      <c r="M111" s="194"/>
      <c r="N111" s="194"/>
      <c r="O111" s="195"/>
      <c r="P111" s="2"/>
      <c r="Q111" s="2"/>
      <c r="R111" s="2"/>
      <c r="S111" s="2"/>
      <c r="T111" s="2"/>
      <c r="U111" s="2"/>
      <c r="V111" s="2"/>
      <c r="W111" s="2"/>
      <c r="X111" s="2"/>
      <c r="Y111" s="2"/>
      <c r="Z111" s="2"/>
      <c r="AA111" s="2"/>
      <c r="AB111" s="2"/>
    </row>
    <row r="112" spans="1:28" s="66" customFormat="1">
      <c r="A112" s="198">
        <v>10</v>
      </c>
      <c r="B112" s="200" t="s">
        <v>329</v>
      </c>
      <c r="C112" s="72" t="s">
        <v>288</v>
      </c>
      <c r="D112" s="69" t="s">
        <v>317</v>
      </c>
      <c r="E112" s="72" t="s">
        <v>288</v>
      </c>
      <c r="F112" s="69" t="s">
        <v>317</v>
      </c>
      <c r="G112" s="72" t="s">
        <v>288</v>
      </c>
      <c r="H112" s="69" t="s">
        <v>308</v>
      </c>
      <c r="I112" s="72" t="s">
        <v>288</v>
      </c>
      <c r="J112" s="69" t="s">
        <v>327</v>
      </c>
      <c r="K112" s="72" t="s">
        <v>288</v>
      </c>
      <c r="L112" s="69" t="s">
        <v>327</v>
      </c>
      <c r="M112" s="202" t="s">
        <v>288</v>
      </c>
      <c r="N112" s="202"/>
      <c r="O112" s="205"/>
      <c r="P112" s="2"/>
      <c r="Q112" s="2"/>
      <c r="R112" s="2"/>
      <c r="S112" s="2"/>
      <c r="T112" s="2"/>
      <c r="U112" s="2"/>
      <c r="V112" s="2"/>
      <c r="W112" s="2"/>
      <c r="X112" s="2"/>
      <c r="Y112" s="2"/>
      <c r="Z112" s="2"/>
      <c r="AA112" s="2"/>
      <c r="AB112" s="2"/>
    </row>
    <row r="113" spans="1:28" s="66" customFormat="1" ht="15.75" thickBot="1">
      <c r="A113" s="199"/>
      <c r="B113" s="201"/>
      <c r="C113" s="78" t="s">
        <v>305</v>
      </c>
      <c r="D113" s="77"/>
      <c r="E113" s="78" t="s">
        <v>305</v>
      </c>
      <c r="F113" s="77"/>
      <c r="G113" s="97" t="s">
        <v>305</v>
      </c>
      <c r="H113" s="126">
        <v>44964</v>
      </c>
      <c r="I113" s="97" t="s">
        <v>305</v>
      </c>
      <c r="J113" s="127">
        <v>44964</v>
      </c>
      <c r="K113" s="97" t="s">
        <v>305</v>
      </c>
      <c r="L113" s="127">
        <v>44964</v>
      </c>
      <c r="M113" s="203"/>
      <c r="N113" s="203"/>
      <c r="O113" s="206"/>
      <c r="P113" s="2"/>
      <c r="Q113" s="2"/>
      <c r="R113" s="2"/>
      <c r="S113" s="2"/>
      <c r="T113" s="2"/>
      <c r="U113" s="2"/>
      <c r="V113" s="2"/>
      <c r="W113" s="2"/>
      <c r="X113" s="2"/>
      <c r="Y113" s="2"/>
      <c r="Z113" s="2"/>
      <c r="AA113" s="2"/>
      <c r="AB113" s="2"/>
    </row>
    <row r="114" spans="1:28" s="66" customFormat="1">
      <c r="A114" s="199"/>
      <c r="B114" s="201"/>
      <c r="C114" s="72" t="s">
        <v>288</v>
      </c>
      <c r="D114" s="69" t="s">
        <v>317</v>
      </c>
      <c r="E114" s="72" t="s">
        <v>288</v>
      </c>
      <c r="F114" s="69" t="s">
        <v>317</v>
      </c>
      <c r="G114" s="72" t="s">
        <v>288</v>
      </c>
      <c r="H114" s="69" t="s">
        <v>317</v>
      </c>
      <c r="I114" s="72" t="s">
        <v>288</v>
      </c>
      <c r="J114" s="69" t="s">
        <v>317</v>
      </c>
      <c r="K114" s="72" t="s">
        <v>288</v>
      </c>
      <c r="L114" s="69" t="s">
        <v>307</v>
      </c>
      <c r="M114" s="203"/>
      <c r="N114" s="203"/>
      <c r="O114" s="206"/>
      <c r="P114" s="2"/>
      <c r="Q114" s="2"/>
      <c r="R114" s="2"/>
      <c r="S114" s="2"/>
      <c r="T114" s="2"/>
      <c r="U114" s="2"/>
      <c r="V114" s="2"/>
      <c r="W114" s="2"/>
      <c r="X114" s="2"/>
      <c r="Y114" s="2"/>
      <c r="Z114" s="2"/>
      <c r="AA114" s="2"/>
      <c r="AB114" s="2"/>
    </row>
    <row r="115" spans="1:28" s="66" customFormat="1" ht="15.75" thickBot="1">
      <c r="A115" s="199"/>
      <c r="B115" s="201"/>
      <c r="C115" s="100" t="s">
        <v>305</v>
      </c>
      <c r="D115" s="77"/>
      <c r="E115" s="100" t="s">
        <v>305</v>
      </c>
      <c r="F115" s="77"/>
      <c r="G115" s="97" t="s">
        <v>305</v>
      </c>
      <c r="H115" s="129">
        <v>44968</v>
      </c>
      <c r="I115" s="97" t="s">
        <v>305</v>
      </c>
      <c r="J115" s="106"/>
      <c r="K115" s="97" t="s">
        <v>305</v>
      </c>
      <c r="L115" s="127">
        <v>44964</v>
      </c>
      <c r="M115" s="203"/>
      <c r="N115" s="203"/>
      <c r="O115" s="206"/>
      <c r="P115" s="2"/>
      <c r="Q115" s="2"/>
      <c r="R115" s="2"/>
      <c r="S115" s="2"/>
      <c r="T115" s="2"/>
      <c r="U115" s="2"/>
      <c r="V115" s="2"/>
      <c r="W115" s="2"/>
      <c r="X115" s="2"/>
      <c r="Y115" s="2"/>
      <c r="Z115" s="2"/>
      <c r="AA115" s="2"/>
      <c r="AB115" s="2"/>
    </row>
    <row r="116" spans="1:28" s="66" customFormat="1" ht="15.75" thickBot="1">
      <c r="A116" s="199"/>
      <c r="B116" s="201"/>
      <c r="C116" s="72" t="s">
        <v>288</v>
      </c>
      <c r="D116" s="69" t="s">
        <v>317</v>
      </c>
      <c r="E116" s="72" t="s">
        <v>288</v>
      </c>
      <c r="F116" s="69" t="s">
        <v>317</v>
      </c>
      <c r="G116" s="72" t="s">
        <v>288</v>
      </c>
      <c r="H116" s="69" t="s">
        <v>317</v>
      </c>
      <c r="I116" s="72" t="s">
        <v>288</v>
      </c>
      <c r="J116" s="69" t="s">
        <v>317</v>
      </c>
      <c r="K116" s="72" t="s">
        <v>288</v>
      </c>
      <c r="L116" s="69" t="s">
        <v>317</v>
      </c>
      <c r="M116" s="204"/>
      <c r="N116" s="204"/>
      <c r="O116" s="206"/>
      <c r="P116" s="2"/>
      <c r="Q116" s="2"/>
      <c r="R116" s="2"/>
      <c r="S116" s="2"/>
      <c r="T116" s="2"/>
      <c r="U116" s="2"/>
      <c r="V116" s="2"/>
      <c r="W116" s="2"/>
      <c r="X116" s="2"/>
      <c r="Y116" s="2"/>
      <c r="Z116" s="2"/>
      <c r="AA116" s="2"/>
      <c r="AB116" s="2"/>
    </row>
    <row r="117" spans="1:28" s="66" customFormat="1" ht="15.75" thickBot="1">
      <c r="A117" s="199"/>
      <c r="B117" s="201"/>
      <c r="C117" s="100" t="s">
        <v>305</v>
      </c>
      <c r="D117" s="99"/>
      <c r="E117" s="100" t="s">
        <v>305</v>
      </c>
      <c r="F117" s="99"/>
      <c r="G117" s="97" t="s">
        <v>305</v>
      </c>
      <c r="H117" s="103"/>
      <c r="I117" s="97" t="s">
        <v>305</v>
      </c>
      <c r="J117" s="106"/>
      <c r="K117" s="97" t="s">
        <v>305</v>
      </c>
      <c r="L117" s="106"/>
      <c r="M117" s="207" t="s">
        <v>305</v>
      </c>
      <c r="N117" s="208"/>
      <c r="O117" s="206"/>
      <c r="P117" s="2"/>
      <c r="Q117" s="2"/>
      <c r="R117" s="2"/>
      <c r="S117" s="2"/>
      <c r="T117" s="2"/>
      <c r="U117" s="2"/>
      <c r="V117" s="2"/>
      <c r="W117" s="2"/>
      <c r="X117" s="2"/>
      <c r="Y117" s="2"/>
      <c r="Z117" s="2"/>
      <c r="AA117" s="2"/>
      <c r="AB117" s="2"/>
    </row>
    <row r="118" spans="1:28" s="66" customFormat="1">
      <c r="A118" s="199"/>
      <c r="B118" s="201"/>
      <c r="C118" s="72" t="s">
        <v>288</v>
      </c>
      <c r="D118" s="69" t="s">
        <v>317</v>
      </c>
      <c r="E118" s="72" t="s">
        <v>288</v>
      </c>
      <c r="F118" s="69" t="s">
        <v>317</v>
      </c>
      <c r="G118" s="72" t="s">
        <v>288</v>
      </c>
      <c r="H118" s="69" t="s">
        <v>317</v>
      </c>
      <c r="I118" s="72" t="s">
        <v>288</v>
      </c>
      <c r="J118" s="69" t="s">
        <v>317</v>
      </c>
      <c r="K118" s="72" t="s">
        <v>288</v>
      </c>
      <c r="L118" s="69" t="s">
        <v>317</v>
      </c>
      <c r="M118" s="207"/>
      <c r="N118" s="208"/>
      <c r="O118" s="206"/>
      <c r="P118" s="2"/>
      <c r="Q118" s="2"/>
      <c r="R118" s="2"/>
      <c r="S118" s="2"/>
      <c r="T118" s="2"/>
      <c r="U118" s="2"/>
      <c r="V118" s="2"/>
      <c r="W118" s="2"/>
      <c r="X118" s="2"/>
      <c r="Y118" s="2"/>
      <c r="Z118" s="2"/>
      <c r="AA118" s="2"/>
      <c r="AB118" s="2"/>
    </row>
    <row r="119" spans="1:28" s="66" customFormat="1" ht="15.75" thickBot="1">
      <c r="A119" s="199"/>
      <c r="B119" s="201"/>
      <c r="C119" s="100" t="s">
        <v>305</v>
      </c>
      <c r="D119" s="99"/>
      <c r="E119" s="100" t="s">
        <v>305</v>
      </c>
      <c r="F119" s="99"/>
      <c r="G119" s="97" t="s">
        <v>305</v>
      </c>
      <c r="H119" s="106"/>
      <c r="I119" s="97" t="s">
        <v>305</v>
      </c>
      <c r="J119" s="106"/>
      <c r="K119" s="97" t="s">
        <v>305</v>
      </c>
      <c r="L119" s="106"/>
      <c r="M119" s="207"/>
      <c r="N119" s="208"/>
      <c r="O119" s="206"/>
      <c r="P119" s="2"/>
      <c r="Q119" s="2"/>
      <c r="R119" s="2"/>
      <c r="S119" s="2"/>
      <c r="T119" s="2"/>
      <c r="U119" s="2"/>
      <c r="V119" s="2"/>
      <c r="W119" s="2"/>
      <c r="X119" s="2"/>
      <c r="Y119" s="2"/>
      <c r="Z119" s="2"/>
      <c r="AA119" s="2"/>
      <c r="AB119" s="2"/>
    </row>
    <row r="120" spans="1:28" s="66" customFormat="1" ht="32.25" customHeight="1">
      <c r="A120" s="199"/>
      <c r="B120" s="201"/>
      <c r="C120" s="209" t="s">
        <v>306</v>
      </c>
      <c r="D120" s="196" t="e">
        <f>SUM(Смета_лит.Е!#REF!)</f>
        <v>#REF!</v>
      </c>
      <c r="E120" s="209" t="s">
        <v>306</v>
      </c>
      <c r="F120" s="196">
        <v>24000</v>
      </c>
      <c r="G120" s="104" t="s">
        <v>315</v>
      </c>
      <c r="H120" s="130" t="s">
        <v>330</v>
      </c>
      <c r="I120" s="98" t="s">
        <v>315</v>
      </c>
      <c r="J120" s="80" t="s">
        <v>326</v>
      </c>
      <c r="K120" s="98" t="s">
        <v>315</v>
      </c>
      <c r="L120" s="83" t="s">
        <v>328</v>
      </c>
      <c r="M120" s="207"/>
      <c r="N120" s="208"/>
      <c r="O120" s="206"/>
      <c r="P120" s="2"/>
      <c r="Q120" s="2"/>
      <c r="R120" s="2"/>
      <c r="S120" s="2"/>
      <c r="T120" s="2"/>
      <c r="U120" s="2"/>
      <c r="V120" s="2"/>
      <c r="W120" s="2"/>
      <c r="X120" s="2"/>
      <c r="Y120" s="2"/>
      <c r="Z120" s="2"/>
      <c r="AA120" s="2"/>
      <c r="AB120" s="2"/>
    </row>
    <row r="121" spans="1:28" s="66" customFormat="1" ht="15.75" thickBot="1">
      <c r="A121" s="199"/>
      <c r="B121" s="201"/>
      <c r="C121" s="210"/>
      <c r="D121" s="197"/>
      <c r="E121" s="210"/>
      <c r="F121" s="197"/>
      <c r="G121" s="107" t="s">
        <v>316</v>
      </c>
      <c r="H121" s="133">
        <v>46735</v>
      </c>
      <c r="I121" s="107" t="s">
        <v>316</v>
      </c>
      <c r="J121" s="132">
        <v>81239</v>
      </c>
      <c r="K121" s="107" t="s">
        <v>316</v>
      </c>
      <c r="L121" s="132">
        <v>78463</v>
      </c>
      <c r="M121" s="207"/>
      <c r="N121" s="208"/>
      <c r="O121" s="206"/>
      <c r="P121" s="2"/>
      <c r="Q121" s="2"/>
      <c r="R121" s="2"/>
      <c r="S121" s="2"/>
      <c r="T121" s="2"/>
      <c r="U121" s="2"/>
      <c r="V121" s="2"/>
      <c r="W121" s="2"/>
      <c r="X121" s="2"/>
      <c r="Y121" s="2"/>
      <c r="Z121" s="2"/>
      <c r="AA121" s="2"/>
      <c r="AB121" s="2"/>
    </row>
    <row r="122" spans="1:28" s="66" customFormat="1" ht="15.75" thickBot="1">
      <c r="A122" s="193"/>
      <c r="B122" s="194"/>
      <c r="C122" s="194"/>
      <c r="D122" s="194"/>
      <c r="E122" s="194"/>
      <c r="F122" s="194"/>
      <c r="G122" s="194"/>
      <c r="H122" s="194"/>
      <c r="I122" s="194"/>
      <c r="J122" s="194"/>
      <c r="K122" s="194"/>
      <c r="L122" s="194"/>
      <c r="M122" s="194"/>
      <c r="N122" s="194"/>
      <c r="O122" s="195"/>
      <c r="P122" s="2"/>
      <c r="Q122" s="2"/>
      <c r="R122" s="2"/>
      <c r="S122" s="2"/>
      <c r="T122" s="2"/>
      <c r="U122" s="2"/>
      <c r="V122" s="2"/>
      <c r="W122" s="2"/>
      <c r="X122" s="2"/>
      <c r="Y122" s="2"/>
      <c r="Z122" s="2"/>
      <c r="AA122" s="2"/>
      <c r="AB122" s="2"/>
    </row>
    <row r="123" spans="1:28" s="66" customFormat="1">
      <c r="A123" s="198">
        <v>11</v>
      </c>
      <c r="B123" s="200" t="s">
        <v>296</v>
      </c>
      <c r="C123" s="72" t="s">
        <v>288</v>
      </c>
      <c r="D123" s="69" t="s">
        <v>317</v>
      </c>
      <c r="E123" s="72" t="s">
        <v>288</v>
      </c>
      <c r="F123" s="69" t="s">
        <v>317</v>
      </c>
      <c r="G123" s="72" t="s">
        <v>288</v>
      </c>
      <c r="H123" s="69" t="s">
        <v>311</v>
      </c>
      <c r="I123" s="72" t="s">
        <v>288</v>
      </c>
      <c r="J123" s="69" t="s">
        <v>317</v>
      </c>
      <c r="K123" s="72" t="s">
        <v>288</v>
      </c>
      <c r="L123" s="69" t="s">
        <v>317</v>
      </c>
      <c r="M123" s="202" t="s">
        <v>288</v>
      </c>
      <c r="N123" s="202"/>
      <c r="O123" s="217" t="s">
        <v>322</v>
      </c>
      <c r="P123" s="2"/>
      <c r="Q123" s="2"/>
      <c r="R123" s="2"/>
      <c r="S123" s="2"/>
      <c r="T123" s="2"/>
      <c r="U123" s="2"/>
      <c r="V123" s="2"/>
      <c r="W123" s="2"/>
      <c r="X123" s="2"/>
      <c r="Y123" s="2"/>
      <c r="Z123" s="2"/>
      <c r="AA123" s="2"/>
      <c r="AB123" s="2"/>
    </row>
    <row r="124" spans="1:28" s="66" customFormat="1" ht="15.75" thickBot="1">
      <c r="A124" s="199"/>
      <c r="B124" s="201"/>
      <c r="C124" s="78" t="s">
        <v>305</v>
      </c>
      <c r="D124" s="77"/>
      <c r="E124" s="78" t="s">
        <v>305</v>
      </c>
      <c r="F124" s="77"/>
      <c r="G124" s="97" t="s">
        <v>305</v>
      </c>
      <c r="H124" s="126"/>
      <c r="I124" s="97" t="s">
        <v>305</v>
      </c>
      <c r="J124" s="109"/>
      <c r="K124" s="97" t="s">
        <v>305</v>
      </c>
      <c r="L124" s="109"/>
      <c r="M124" s="203"/>
      <c r="N124" s="203"/>
      <c r="O124" s="218"/>
      <c r="P124" s="2"/>
      <c r="Q124" s="2"/>
      <c r="R124" s="2"/>
      <c r="S124" s="2"/>
      <c r="T124" s="2"/>
      <c r="U124" s="2"/>
      <c r="V124" s="2"/>
      <c r="W124" s="2"/>
      <c r="X124" s="2"/>
      <c r="Y124" s="2"/>
      <c r="Z124" s="2"/>
      <c r="AA124" s="2"/>
      <c r="AB124" s="2"/>
    </row>
    <row r="125" spans="1:28" s="66" customFormat="1">
      <c r="A125" s="199"/>
      <c r="B125" s="201"/>
      <c r="C125" s="72" t="s">
        <v>288</v>
      </c>
      <c r="D125" s="69" t="s">
        <v>317</v>
      </c>
      <c r="E125" s="72" t="s">
        <v>288</v>
      </c>
      <c r="F125" s="69" t="s">
        <v>317</v>
      </c>
      <c r="G125" s="72" t="s">
        <v>288</v>
      </c>
      <c r="H125" s="69" t="s">
        <v>317</v>
      </c>
      <c r="I125" s="72" t="s">
        <v>288</v>
      </c>
      <c r="J125" s="69" t="s">
        <v>317</v>
      </c>
      <c r="K125" s="72" t="s">
        <v>288</v>
      </c>
      <c r="L125" s="69" t="s">
        <v>317</v>
      </c>
      <c r="M125" s="203"/>
      <c r="N125" s="203"/>
      <c r="O125" s="218"/>
      <c r="P125" s="2"/>
      <c r="Q125" s="2"/>
      <c r="R125" s="2"/>
      <c r="S125" s="2"/>
      <c r="T125" s="2"/>
      <c r="U125" s="2"/>
      <c r="V125" s="2"/>
      <c r="W125" s="2"/>
      <c r="X125" s="2"/>
      <c r="Y125" s="2"/>
      <c r="Z125" s="2"/>
      <c r="AA125" s="2"/>
      <c r="AB125" s="2"/>
    </row>
    <row r="126" spans="1:28" s="66" customFormat="1" ht="15.75" thickBot="1">
      <c r="A126" s="199"/>
      <c r="B126" s="201"/>
      <c r="C126" s="100" t="s">
        <v>305</v>
      </c>
      <c r="D126" s="77"/>
      <c r="E126" s="100" t="s">
        <v>305</v>
      </c>
      <c r="F126" s="77"/>
      <c r="G126" s="97" t="s">
        <v>305</v>
      </c>
      <c r="H126" s="103"/>
      <c r="I126" s="97" t="s">
        <v>305</v>
      </c>
      <c r="J126" s="106"/>
      <c r="K126" s="97" t="s">
        <v>305</v>
      </c>
      <c r="L126" s="106"/>
      <c r="M126" s="203"/>
      <c r="N126" s="203"/>
      <c r="O126" s="218"/>
      <c r="P126" s="2"/>
      <c r="Q126" s="2"/>
      <c r="R126" s="2"/>
      <c r="S126" s="2"/>
      <c r="T126" s="2"/>
      <c r="U126" s="2"/>
      <c r="V126" s="2"/>
      <c r="W126" s="2"/>
      <c r="X126" s="2"/>
      <c r="Y126" s="2"/>
      <c r="Z126" s="2"/>
      <c r="AA126" s="2"/>
      <c r="AB126" s="2"/>
    </row>
    <row r="127" spans="1:28" s="66" customFormat="1" ht="15.75" thickBot="1">
      <c r="A127" s="199"/>
      <c r="B127" s="201"/>
      <c r="C127" s="72" t="s">
        <v>288</v>
      </c>
      <c r="D127" s="69" t="s">
        <v>317</v>
      </c>
      <c r="E127" s="72" t="s">
        <v>288</v>
      </c>
      <c r="F127" s="69" t="s">
        <v>317</v>
      </c>
      <c r="G127" s="72" t="s">
        <v>288</v>
      </c>
      <c r="H127" s="69" t="s">
        <v>317</v>
      </c>
      <c r="I127" s="72" t="s">
        <v>288</v>
      </c>
      <c r="J127" s="69" t="s">
        <v>317</v>
      </c>
      <c r="K127" s="72" t="s">
        <v>288</v>
      </c>
      <c r="L127" s="69" t="s">
        <v>317</v>
      </c>
      <c r="M127" s="204"/>
      <c r="N127" s="204"/>
      <c r="O127" s="218"/>
      <c r="P127" s="2"/>
      <c r="Q127" s="2"/>
      <c r="R127" s="2"/>
      <c r="S127" s="2"/>
      <c r="T127" s="2"/>
      <c r="U127" s="2"/>
      <c r="V127" s="2"/>
      <c r="W127" s="2"/>
      <c r="X127" s="2"/>
      <c r="Y127" s="2"/>
      <c r="Z127" s="2"/>
      <c r="AA127" s="2"/>
      <c r="AB127" s="2"/>
    </row>
    <row r="128" spans="1:28" s="66" customFormat="1" ht="15.75" thickBot="1">
      <c r="A128" s="199"/>
      <c r="B128" s="201"/>
      <c r="C128" s="100" t="s">
        <v>305</v>
      </c>
      <c r="D128" s="99"/>
      <c r="E128" s="100" t="s">
        <v>305</v>
      </c>
      <c r="F128" s="99"/>
      <c r="G128" s="97" t="s">
        <v>305</v>
      </c>
      <c r="H128" s="103"/>
      <c r="I128" s="97" t="s">
        <v>305</v>
      </c>
      <c r="J128" s="106"/>
      <c r="K128" s="97" t="s">
        <v>305</v>
      </c>
      <c r="L128" s="106"/>
      <c r="M128" s="207" t="s">
        <v>305</v>
      </c>
      <c r="N128" s="208"/>
      <c r="O128" s="218"/>
      <c r="P128" s="2"/>
      <c r="Q128" s="2"/>
      <c r="R128" s="2"/>
      <c r="S128" s="2"/>
      <c r="T128" s="2"/>
      <c r="U128" s="2"/>
      <c r="V128" s="2"/>
      <c r="W128" s="2"/>
      <c r="X128" s="2"/>
      <c r="Y128" s="2"/>
      <c r="Z128" s="2"/>
      <c r="AA128" s="2"/>
      <c r="AB128" s="2"/>
    </row>
    <row r="129" spans="1:28" s="66" customFormat="1">
      <c r="A129" s="199"/>
      <c r="B129" s="201"/>
      <c r="C129" s="72" t="s">
        <v>288</v>
      </c>
      <c r="D129" s="69" t="s">
        <v>317</v>
      </c>
      <c r="E129" s="72" t="s">
        <v>288</v>
      </c>
      <c r="F129" s="69" t="s">
        <v>317</v>
      </c>
      <c r="G129" s="72" t="s">
        <v>288</v>
      </c>
      <c r="H129" s="69" t="s">
        <v>317</v>
      </c>
      <c r="I129" s="72" t="s">
        <v>288</v>
      </c>
      <c r="J129" s="69" t="s">
        <v>317</v>
      </c>
      <c r="K129" s="72" t="s">
        <v>288</v>
      </c>
      <c r="L129" s="69" t="s">
        <v>307</v>
      </c>
      <c r="M129" s="207"/>
      <c r="N129" s="208"/>
      <c r="O129" s="218"/>
      <c r="P129" s="2"/>
      <c r="Q129" s="2"/>
      <c r="R129" s="2"/>
      <c r="S129" s="2"/>
      <c r="T129" s="2"/>
      <c r="U129" s="2"/>
      <c r="V129" s="2"/>
      <c r="W129" s="2"/>
      <c r="X129" s="2"/>
      <c r="Y129" s="2"/>
      <c r="Z129" s="2"/>
      <c r="AA129" s="2"/>
      <c r="AB129" s="2"/>
    </row>
    <row r="130" spans="1:28" s="66" customFormat="1" ht="15.75" thickBot="1">
      <c r="A130" s="199"/>
      <c r="B130" s="201"/>
      <c r="C130" s="100" t="s">
        <v>305</v>
      </c>
      <c r="D130" s="99"/>
      <c r="E130" s="100" t="s">
        <v>305</v>
      </c>
      <c r="F130" s="99"/>
      <c r="G130" s="97" t="s">
        <v>305</v>
      </c>
      <c r="H130" s="106"/>
      <c r="I130" s="97" t="s">
        <v>305</v>
      </c>
      <c r="J130" s="106"/>
      <c r="K130" s="97" t="s">
        <v>305</v>
      </c>
      <c r="L130" s="106"/>
      <c r="M130" s="207"/>
      <c r="N130" s="208"/>
      <c r="O130" s="218"/>
      <c r="P130" s="2"/>
      <c r="Q130" s="2"/>
      <c r="R130" s="2"/>
      <c r="S130" s="2"/>
      <c r="T130" s="2"/>
      <c r="U130" s="2"/>
      <c r="V130" s="2"/>
      <c r="W130" s="2"/>
      <c r="X130" s="2"/>
      <c r="Y130" s="2"/>
      <c r="Z130" s="2"/>
      <c r="AA130" s="2"/>
      <c r="AB130" s="2"/>
    </row>
    <row r="131" spans="1:28" s="66" customFormat="1" ht="15" customHeight="1" thickBot="1">
      <c r="A131" s="199"/>
      <c r="B131" s="201"/>
      <c r="C131" s="209" t="s">
        <v>306</v>
      </c>
      <c r="D131" s="196"/>
      <c r="E131" s="209" t="s">
        <v>306</v>
      </c>
      <c r="F131" s="196"/>
      <c r="G131" s="104" t="s">
        <v>315</v>
      </c>
      <c r="H131" s="134" t="s">
        <v>332</v>
      </c>
      <c r="I131" s="98" t="s">
        <v>315</v>
      </c>
      <c r="J131" s="123" t="s">
        <v>298</v>
      </c>
      <c r="K131" s="98" t="s">
        <v>315</v>
      </c>
      <c r="L131" s="122" t="s">
        <v>297</v>
      </c>
      <c r="M131" s="207"/>
      <c r="N131" s="208"/>
      <c r="O131" s="218"/>
      <c r="P131" s="2"/>
      <c r="Q131" s="2"/>
      <c r="R131" s="2"/>
      <c r="S131" s="2"/>
      <c r="T131" s="2"/>
      <c r="U131" s="2"/>
      <c r="V131" s="2"/>
      <c r="W131" s="2"/>
      <c r="X131" s="2"/>
      <c r="Y131" s="2"/>
      <c r="Z131" s="2"/>
      <c r="AA131" s="2"/>
      <c r="AB131" s="2"/>
    </row>
    <row r="132" spans="1:28" s="66" customFormat="1" ht="15.75" thickBot="1">
      <c r="A132" s="222"/>
      <c r="B132" s="223"/>
      <c r="C132" s="215"/>
      <c r="D132" s="216"/>
      <c r="E132" s="215"/>
      <c r="F132" s="216"/>
      <c r="G132" s="97" t="s">
        <v>316</v>
      </c>
      <c r="H132" s="182">
        <v>26900</v>
      </c>
      <c r="I132" s="97" t="s">
        <v>316</v>
      </c>
      <c r="J132" s="183">
        <v>24910</v>
      </c>
      <c r="K132" s="97" t="s">
        <v>316</v>
      </c>
      <c r="L132" s="181">
        <v>24900</v>
      </c>
      <c r="M132" s="225"/>
      <c r="N132" s="226"/>
      <c r="O132" s="242"/>
      <c r="P132" s="2"/>
      <c r="Q132" s="2"/>
      <c r="R132" s="2"/>
      <c r="S132" s="2"/>
      <c r="T132" s="2"/>
      <c r="U132" s="2"/>
      <c r="V132" s="2"/>
      <c r="W132" s="2"/>
      <c r="X132" s="2"/>
      <c r="Y132" s="2"/>
      <c r="Z132" s="2"/>
      <c r="AA132" s="2"/>
      <c r="AB132" s="2"/>
    </row>
    <row r="133" spans="1:28" s="66" customFormat="1" ht="21.75" customHeight="1" thickBot="1">
      <c r="A133" s="193"/>
      <c r="B133" s="194"/>
      <c r="C133" s="194"/>
      <c r="D133" s="194"/>
      <c r="E133" s="194"/>
      <c r="F133" s="194"/>
      <c r="G133" s="194"/>
      <c r="H133" s="194"/>
      <c r="I133" s="194"/>
      <c r="J133" s="194"/>
      <c r="K133" s="194"/>
      <c r="L133" s="194"/>
      <c r="M133" s="194"/>
      <c r="N133" s="194"/>
      <c r="O133" s="195"/>
      <c r="P133" s="2"/>
      <c r="Q133" s="2"/>
      <c r="R133" s="2"/>
      <c r="S133" s="2"/>
      <c r="T133" s="2"/>
      <c r="U133" s="2"/>
      <c r="V133" s="2"/>
      <c r="W133" s="2"/>
      <c r="X133" s="2"/>
      <c r="Y133" s="2"/>
      <c r="Z133" s="2"/>
      <c r="AA133" s="2"/>
      <c r="AB133" s="2"/>
    </row>
    <row r="134" spans="1:28" s="66" customFormat="1">
      <c r="A134" s="198">
        <v>12</v>
      </c>
      <c r="B134" s="200" t="s">
        <v>12</v>
      </c>
      <c r="C134" s="72" t="s">
        <v>288</v>
      </c>
      <c r="D134" s="69" t="s">
        <v>317</v>
      </c>
      <c r="E134" s="72" t="s">
        <v>288</v>
      </c>
      <c r="F134" s="69" t="s">
        <v>317</v>
      </c>
      <c r="G134" s="72" t="s">
        <v>288</v>
      </c>
      <c r="H134" s="69" t="s">
        <v>317</v>
      </c>
      <c r="I134" s="72" t="s">
        <v>288</v>
      </c>
      <c r="J134" s="69" t="s">
        <v>317</v>
      </c>
      <c r="K134" s="72" t="s">
        <v>288</v>
      </c>
      <c r="L134" s="69" t="s">
        <v>317</v>
      </c>
      <c r="M134" s="202" t="s">
        <v>288</v>
      </c>
      <c r="N134" s="202"/>
      <c r="O134" s="217"/>
      <c r="P134" s="2"/>
      <c r="Q134" s="2"/>
      <c r="R134" s="2"/>
      <c r="S134" s="2"/>
      <c r="T134" s="2"/>
      <c r="U134" s="2"/>
      <c r="V134" s="2"/>
      <c r="W134" s="2"/>
      <c r="X134" s="2"/>
      <c r="Y134" s="2"/>
      <c r="Z134" s="2"/>
      <c r="AA134" s="2"/>
      <c r="AB134" s="2"/>
    </row>
    <row r="135" spans="1:28" s="66" customFormat="1" ht="15.75" thickBot="1">
      <c r="A135" s="199"/>
      <c r="B135" s="201"/>
      <c r="C135" s="78" t="s">
        <v>305</v>
      </c>
      <c r="D135" s="77"/>
      <c r="E135" s="78" t="s">
        <v>305</v>
      </c>
      <c r="F135" s="77"/>
      <c r="G135" s="97" t="s">
        <v>305</v>
      </c>
      <c r="H135" s="102"/>
      <c r="I135" s="97" t="s">
        <v>305</v>
      </c>
      <c r="J135" s="109"/>
      <c r="K135" s="97" t="s">
        <v>305</v>
      </c>
      <c r="L135" s="109"/>
      <c r="M135" s="203"/>
      <c r="N135" s="203"/>
      <c r="O135" s="218"/>
      <c r="P135" s="2"/>
      <c r="Q135" s="2"/>
      <c r="R135" s="2"/>
      <c r="S135" s="2"/>
      <c r="T135" s="2"/>
      <c r="U135" s="2"/>
      <c r="V135" s="2"/>
      <c r="W135" s="2"/>
      <c r="X135" s="2"/>
      <c r="Y135" s="2"/>
      <c r="Z135" s="2"/>
      <c r="AA135" s="2"/>
      <c r="AB135" s="2"/>
    </row>
    <row r="136" spans="1:28" s="66" customFormat="1">
      <c r="A136" s="199"/>
      <c r="B136" s="201"/>
      <c r="C136" s="72" t="s">
        <v>288</v>
      </c>
      <c r="D136" s="69" t="s">
        <v>317</v>
      </c>
      <c r="E136" s="72" t="s">
        <v>288</v>
      </c>
      <c r="F136" s="69" t="s">
        <v>317</v>
      </c>
      <c r="G136" s="72" t="s">
        <v>288</v>
      </c>
      <c r="H136" s="69" t="s">
        <v>317</v>
      </c>
      <c r="I136" s="72" t="s">
        <v>288</v>
      </c>
      <c r="J136" s="69" t="s">
        <v>317</v>
      </c>
      <c r="K136" s="72" t="s">
        <v>288</v>
      </c>
      <c r="L136" s="69" t="s">
        <v>317</v>
      </c>
      <c r="M136" s="203"/>
      <c r="N136" s="203"/>
      <c r="O136" s="218"/>
      <c r="P136" s="2"/>
      <c r="Q136" s="2"/>
      <c r="R136" s="2"/>
      <c r="S136" s="2"/>
      <c r="T136" s="2"/>
      <c r="U136" s="2"/>
      <c r="V136" s="2"/>
      <c r="W136" s="2"/>
      <c r="X136" s="2"/>
      <c r="Y136" s="2"/>
      <c r="Z136" s="2"/>
      <c r="AA136" s="2"/>
      <c r="AB136" s="2"/>
    </row>
    <row r="137" spans="1:28" s="66" customFormat="1" ht="15.75" thickBot="1">
      <c r="A137" s="199"/>
      <c r="B137" s="201"/>
      <c r="C137" s="100" t="s">
        <v>305</v>
      </c>
      <c r="D137" s="77"/>
      <c r="E137" s="100" t="s">
        <v>305</v>
      </c>
      <c r="F137" s="77"/>
      <c r="G137" s="97" t="s">
        <v>305</v>
      </c>
      <c r="H137" s="103"/>
      <c r="I137" s="97" t="s">
        <v>305</v>
      </c>
      <c r="J137" s="106"/>
      <c r="K137" s="97" t="s">
        <v>305</v>
      </c>
      <c r="L137" s="106"/>
      <c r="M137" s="203"/>
      <c r="N137" s="203"/>
      <c r="O137" s="218"/>
      <c r="P137" s="2"/>
      <c r="Q137" s="2"/>
      <c r="R137" s="2"/>
      <c r="S137" s="2"/>
      <c r="T137" s="2"/>
      <c r="U137" s="2"/>
      <c r="V137" s="2"/>
      <c r="W137" s="2"/>
      <c r="X137" s="2"/>
      <c r="Y137" s="2"/>
      <c r="Z137" s="2"/>
      <c r="AA137" s="2"/>
      <c r="AB137" s="2"/>
    </row>
    <row r="138" spans="1:28" s="66" customFormat="1" ht="15.75" thickBot="1">
      <c r="A138" s="199"/>
      <c r="B138" s="201"/>
      <c r="C138" s="72" t="s">
        <v>288</v>
      </c>
      <c r="D138" s="69" t="s">
        <v>317</v>
      </c>
      <c r="E138" s="72" t="s">
        <v>288</v>
      </c>
      <c r="F138" s="69" t="s">
        <v>317</v>
      </c>
      <c r="G138" s="72" t="s">
        <v>288</v>
      </c>
      <c r="H138" s="69" t="s">
        <v>317</v>
      </c>
      <c r="I138" s="72" t="s">
        <v>288</v>
      </c>
      <c r="J138" s="69" t="s">
        <v>317</v>
      </c>
      <c r="K138" s="72" t="s">
        <v>288</v>
      </c>
      <c r="L138" s="69" t="s">
        <v>317</v>
      </c>
      <c r="M138" s="204"/>
      <c r="N138" s="204"/>
      <c r="O138" s="218"/>
      <c r="P138" s="2"/>
      <c r="Q138" s="2"/>
      <c r="R138" s="2"/>
      <c r="S138" s="2"/>
      <c r="T138" s="2"/>
      <c r="U138" s="2"/>
      <c r="V138" s="2"/>
      <c r="W138" s="2"/>
      <c r="X138" s="2"/>
      <c r="Y138" s="2"/>
      <c r="Z138" s="2"/>
      <c r="AA138" s="2"/>
      <c r="AB138" s="2"/>
    </row>
    <row r="139" spans="1:28" s="66" customFormat="1" ht="15.75" thickBot="1">
      <c r="A139" s="199"/>
      <c r="B139" s="201"/>
      <c r="C139" s="100" t="s">
        <v>305</v>
      </c>
      <c r="D139" s="99"/>
      <c r="E139" s="100" t="s">
        <v>305</v>
      </c>
      <c r="F139" s="99"/>
      <c r="G139" s="97" t="s">
        <v>305</v>
      </c>
      <c r="H139" s="103"/>
      <c r="I139" s="97" t="s">
        <v>305</v>
      </c>
      <c r="J139" s="106"/>
      <c r="K139" s="97" t="s">
        <v>305</v>
      </c>
      <c r="L139" s="106"/>
      <c r="M139" s="207" t="s">
        <v>305</v>
      </c>
      <c r="N139" s="208"/>
      <c r="O139" s="218"/>
      <c r="P139" s="2"/>
      <c r="Q139" s="2"/>
      <c r="R139" s="2"/>
      <c r="S139" s="2"/>
      <c r="T139" s="2"/>
      <c r="U139" s="2"/>
      <c r="V139" s="2"/>
      <c r="W139" s="2"/>
      <c r="X139" s="2"/>
      <c r="Y139" s="2"/>
      <c r="Z139" s="2"/>
      <c r="AA139" s="2"/>
      <c r="AB139" s="2"/>
    </row>
    <row r="140" spans="1:28" s="66" customFormat="1">
      <c r="A140" s="199"/>
      <c r="B140" s="201"/>
      <c r="C140" s="72" t="s">
        <v>288</v>
      </c>
      <c r="D140" s="69" t="s">
        <v>317</v>
      </c>
      <c r="E140" s="72" t="s">
        <v>288</v>
      </c>
      <c r="F140" s="69" t="s">
        <v>317</v>
      </c>
      <c r="G140" s="72" t="s">
        <v>288</v>
      </c>
      <c r="H140" s="69" t="s">
        <v>317</v>
      </c>
      <c r="I140" s="72" t="s">
        <v>288</v>
      </c>
      <c r="J140" s="69" t="s">
        <v>317</v>
      </c>
      <c r="K140" s="72" t="s">
        <v>288</v>
      </c>
      <c r="L140" s="69" t="s">
        <v>307</v>
      </c>
      <c r="M140" s="207"/>
      <c r="N140" s="208"/>
      <c r="O140" s="218"/>
      <c r="P140" s="2"/>
      <c r="Q140" s="2"/>
      <c r="R140" s="2"/>
      <c r="S140" s="2"/>
      <c r="T140" s="2"/>
      <c r="U140" s="2"/>
      <c r="V140" s="2"/>
      <c r="W140" s="2"/>
      <c r="X140" s="2"/>
      <c r="Y140" s="2"/>
      <c r="Z140" s="2"/>
      <c r="AA140" s="2"/>
      <c r="AB140" s="2"/>
    </row>
    <row r="141" spans="1:28" s="66" customFormat="1" ht="15.75" thickBot="1">
      <c r="A141" s="199"/>
      <c r="B141" s="201"/>
      <c r="C141" s="100" t="s">
        <v>305</v>
      </c>
      <c r="D141" s="99"/>
      <c r="E141" s="100" t="s">
        <v>305</v>
      </c>
      <c r="F141" s="99"/>
      <c r="G141" s="97" t="s">
        <v>305</v>
      </c>
      <c r="H141" s="106"/>
      <c r="I141" s="97" t="s">
        <v>305</v>
      </c>
      <c r="J141" s="106"/>
      <c r="K141" s="97" t="s">
        <v>305</v>
      </c>
      <c r="L141" s="106"/>
      <c r="M141" s="207"/>
      <c r="N141" s="208"/>
      <c r="O141" s="218"/>
      <c r="P141" s="2"/>
      <c r="Q141" s="2"/>
      <c r="R141" s="2"/>
      <c r="S141" s="2"/>
      <c r="T141" s="2"/>
      <c r="U141" s="2"/>
      <c r="V141" s="2"/>
      <c r="W141" s="2"/>
      <c r="X141" s="2"/>
      <c r="Y141" s="2"/>
      <c r="Z141" s="2"/>
      <c r="AA141" s="2"/>
      <c r="AB141" s="2"/>
    </row>
    <row r="142" spans="1:28" s="66" customFormat="1" ht="15" customHeight="1">
      <c r="A142" s="199"/>
      <c r="B142" s="201"/>
      <c r="C142" s="209" t="s">
        <v>306</v>
      </c>
      <c r="D142" s="196" t="e">
        <f>SUM(Смета_лит.Е!#REF!)</f>
        <v>#REF!</v>
      </c>
      <c r="E142" s="209" t="s">
        <v>306</v>
      </c>
      <c r="F142" s="196" t="e">
        <f>D142*35%</f>
        <v>#REF!</v>
      </c>
      <c r="G142" s="104" t="s">
        <v>315</v>
      </c>
      <c r="H142" s="73"/>
      <c r="I142" s="98" t="s">
        <v>315</v>
      </c>
      <c r="J142" s="80"/>
      <c r="K142" s="98" t="s">
        <v>315</v>
      </c>
      <c r="L142" s="81"/>
      <c r="M142" s="207"/>
      <c r="N142" s="208"/>
      <c r="O142" s="218"/>
      <c r="P142" s="2"/>
      <c r="Q142" s="2"/>
      <c r="R142" s="2"/>
      <c r="S142" s="2"/>
      <c r="T142" s="2"/>
      <c r="U142" s="2"/>
      <c r="V142" s="2"/>
      <c r="W142" s="2"/>
      <c r="X142" s="2"/>
      <c r="Y142" s="2"/>
      <c r="Z142" s="2"/>
      <c r="AA142" s="2"/>
      <c r="AB142" s="2"/>
    </row>
    <row r="143" spans="1:28" s="66" customFormat="1" ht="15.75" thickBot="1">
      <c r="A143" s="199"/>
      <c r="B143" s="201"/>
      <c r="C143" s="210"/>
      <c r="D143" s="197"/>
      <c r="E143" s="210"/>
      <c r="F143" s="197"/>
      <c r="G143" s="107" t="s">
        <v>316</v>
      </c>
      <c r="H143" s="116"/>
      <c r="I143" s="107" t="s">
        <v>316</v>
      </c>
      <c r="J143" s="116"/>
      <c r="K143" s="107" t="s">
        <v>316</v>
      </c>
      <c r="L143" s="116"/>
      <c r="M143" s="207"/>
      <c r="N143" s="208"/>
      <c r="O143" s="218"/>
      <c r="P143" s="2"/>
      <c r="Q143" s="2"/>
      <c r="R143" s="2"/>
      <c r="S143" s="2"/>
      <c r="T143" s="2"/>
      <c r="U143" s="2"/>
      <c r="V143" s="2"/>
      <c r="W143" s="2"/>
      <c r="X143" s="2"/>
      <c r="Y143" s="2"/>
      <c r="Z143" s="2"/>
      <c r="AA143" s="2"/>
      <c r="AB143" s="2"/>
    </row>
    <row r="144" spans="1:28" s="66" customFormat="1" ht="15.75" thickBot="1">
      <c r="A144" s="193"/>
      <c r="B144" s="194"/>
      <c r="C144" s="194"/>
      <c r="D144" s="194"/>
      <c r="E144" s="194"/>
      <c r="F144" s="194"/>
      <c r="G144" s="194"/>
      <c r="H144" s="194"/>
      <c r="I144" s="194"/>
      <c r="J144" s="194"/>
      <c r="K144" s="194"/>
      <c r="L144" s="194"/>
      <c r="M144" s="194"/>
      <c r="N144" s="194"/>
      <c r="O144" s="195"/>
      <c r="P144" s="2"/>
      <c r="Q144" s="2"/>
      <c r="R144" s="2"/>
      <c r="S144" s="2"/>
      <c r="T144" s="2"/>
      <c r="U144" s="2"/>
      <c r="V144" s="2"/>
      <c r="W144" s="2"/>
      <c r="X144" s="2"/>
      <c r="Y144" s="2"/>
      <c r="Z144" s="2"/>
      <c r="AA144" s="2"/>
      <c r="AB144" s="2"/>
    </row>
    <row r="145" spans="1:28" ht="30">
      <c r="A145" s="184" t="s">
        <v>357</v>
      </c>
      <c r="B145" s="91" t="s">
        <v>13</v>
      </c>
      <c r="C145" s="89"/>
      <c r="D145" s="90" t="e">
        <f>SUM(Смета_лит.Е!#REF!)</f>
        <v>#REF!</v>
      </c>
      <c r="E145" s="90"/>
      <c r="F145" s="90" t="e">
        <f t="shared" ref="F145:F160" si="0">D145*35%</f>
        <v>#REF!</v>
      </c>
      <c r="G145" s="90"/>
      <c r="H145" s="90"/>
      <c r="I145" s="90"/>
      <c r="J145" s="90"/>
      <c r="K145" s="90"/>
      <c r="L145" s="90"/>
      <c r="M145" s="90"/>
      <c r="N145" s="90"/>
      <c r="O145" s="90"/>
      <c r="P145" s="2"/>
      <c r="Q145" s="2"/>
      <c r="R145" s="2"/>
      <c r="S145" s="2"/>
      <c r="T145" s="2"/>
      <c r="U145" s="2"/>
      <c r="V145" s="2"/>
      <c r="W145" s="2"/>
      <c r="X145" s="2"/>
      <c r="Y145" s="2"/>
      <c r="Z145" s="2"/>
      <c r="AA145" s="2"/>
      <c r="AB145" s="2"/>
    </row>
    <row r="146" spans="1:28">
      <c r="A146" s="88">
        <v>8</v>
      </c>
      <c r="B146" s="91" t="s">
        <v>14</v>
      </c>
      <c r="C146" s="91"/>
      <c r="D146" s="90" t="e">
        <f>SUM(Смета_лит.Е!#REF!)</f>
        <v>#REF!</v>
      </c>
      <c r="E146" s="90"/>
      <c r="F146" s="90" t="e">
        <f t="shared" si="0"/>
        <v>#REF!</v>
      </c>
      <c r="G146" s="90"/>
      <c r="H146" s="90"/>
      <c r="I146" s="90"/>
      <c r="J146" s="90"/>
      <c r="K146" s="90"/>
      <c r="L146" s="90"/>
      <c r="M146" s="90"/>
      <c r="N146" s="90"/>
      <c r="O146" s="90"/>
      <c r="P146" s="2"/>
      <c r="Q146" s="2"/>
      <c r="R146" s="2"/>
      <c r="S146" s="2"/>
      <c r="T146" s="2"/>
      <c r="U146" s="2"/>
      <c r="V146" s="2"/>
      <c r="W146" s="2"/>
      <c r="X146" s="2"/>
      <c r="Y146" s="2"/>
      <c r="Z146" s="2"/>
      <c r="AA146" s="2"/>
      <c r="AB146" s="2"/>
    </row>
    <row r="147" spans="1:28" ht="30">
      <c r="A147" s="88">
        <v>9</v>
      </c>
      <c r="B147" s="91" t="s">
        <v>15</v>
      </c>
      <c r="C147" s="89"/>
      <c r="D147" s="90" t="e">
        <f>SUM(Смета_лит.Е!#REF!)</f>
        <v>#REF!</v>
      </c>
      <c r="E147" s="90"/>
      <c r="F147" s="90" t="e">
        <f t="shared" si="0"/>
        <v>#REF!</v>
      </c>
      <c r="G147" s="90"/>
      <c r="H147" s="90"/>
      <c r="I147" s="90"/>
      <c r="J147" s="90"/>
      <c r="K147" s="90"/>
      <c r="L147" s="90"/>
      <c r="M147" s="90"/>
      <c r="N147" s="90"/>
      <c r="O147" s="90"/>
      <c r="P147" s="2"/>
      <c r="Q147" s="2"/>
      <c r="R147" s="2"/>
      <c r="S147" s="2"/>
      <c r="T147" s="2"/>
      <c r="U147" s="2"/>
      <c r="V147" s="2"/>
      <c r="W147" s="2"/>
      <c r="X147" s="2"/>
      <c r="Y147" s="2"/>
      <c r="Z147" s="2"/>
      <c r="AA147" s="2"/>
      <c r="AB147" s="2"/>
    </row>
    <row r="148" spans="1:28">
      <c r="A148" s="88">
        <v>10</v>
      </c>
      <c r="B148" s="91" t="s">
        <v>16</v>
      </c>
      <c r="C148" s="89"/>
      <c r="D148" s="90" t="e">
        <f>SUM(Смета_лит.Е!#REF!)</f>
        <v>#REF!</v>
      </c>
      <c r="E148" s="90"/>
      <c r="F148" s="90" t="e">
        <f t="shared" si="0"/>
        <v>#REF!</v>
      </c>
      <c r="G148" s="90"/>
      <c r="H148" s="90"/>
      <c r="I148" s="90"/>
      <c r="J148" s="90"/>
      <c r="K148" s="90"/>
      <c r="L148" s="90"/>
      <c r="M148" s="90"/>
      <c r="N148" s="90"/>
      <c r="O148" s="90"/>
      <c r="P148" s="2"/>
      <c r="Q148" s="2"/>
      <c r="R148" s="2"/>
      <c r="S148" s="2"/>
      <c r="T148" s="2"/>
      <c r="U148" s="2"/>
      <c r="V148" s="2"/>
      <c r="W148" s="2"/>
      <c r="X148" s="2"/>
      <c r="Y148" s="2"/>
      <c r="Z148" s="2"/>
      <c r="AA148" s="2"/>
      <c r="AB148" s="2"/>
    </row>
    <row r="149" spans="1:28">
      <c r="A149" s="84">
        <v>11</v>
      </c>
      <c r="B149" s="85" t="s">
        <v>17</v>
      </c>
      <c r="C149" s="87"/>
      <c r="D149" s="86" t="e">
        <f>SUM(Смета_лит.Е!#REF!)</f>
        <v>#REF!</v>
      </c>
      <c r="E149" s="86"/>
      <c r="F149" s="86" t="e">
        <f t="shared" si="0"/>
        <v>#REF!</v>
      </c>
      <c r="G149" s="86"/>
      <c r="H149" s="86"/>
      <c r="I149" s="86"/>
      <c r="J149" s="86"/>
      <c r="K149" s="86"/>
      <c r="L149" s="86"/>
      <c r="M149" s="86"/>
      <c r="N149" s="86"/>
      <c r="O149" s="86"/>
      <c r="P149" s="2"/>
      <c r="Q149" s="2"/>
      <c r="R149" s="2"/>
      <c r="S149" s="2"/>
      <c r="T149" s="2"/>
      <c r="U149" s="2"/>
      <c r="V149" s="2"/>
      <c r="W149" s="2"/>
      <c r="X149" s="2"/>
      <c r="Y149" s="2"/>
      <c r="Z149" s="2"/>
      <c r="AA149" s="2"/>
      <c r="AB149" s="2"/>
    </row>
    <row r="150" spans="1:28">
      <c r="A150" s="84">
        <v>12</v>
      </c>
      <c r="B150" s="85" t="s">
        <v>18</v>
      </c>
      <c r="C150" s="87"/>
      <c r="D150" s="86">
        <f>SUM(Смета_лит.Е!F8:F11)</f>
        <v>109044</v>
      </c>
      <c r="E150" s="86"/>
      <c r="F150" s="86">
        <f t="shared" si="0"/>
        <v>38165.399999999994</v>
      </c>
      <c r="G150" s="86"/>
      <c r="H150" s="86"/>
      <c r="I150" s="86"/>
      <c r="J150" s="86"/>
      <c r="K150" s="86"/>
      <c r="L150" s="86"/>
      <c r="M150" s="86"/>
      <c r="N150" s="86"/>
      <c r="O150" s="86"/>
      <c r="P150" s="2"/>
      <c r="Q150" s="2"/>
      <c r="R150" s="2"/>
      <c r="S150" s="2"/>
      <c r="T150" s="7"/>
      <c r="U150" s="2"/>
      <c r="V150" s="2"/>
      <c r="W150" s="2"/>
      <c r="X150" s="2"/>
      <c r="Y150" s="2"/>
      <c r="Z150" s="2"/>
      <c r="AA150" s="2"/>
      <c r="AB150" s="2"/>
    </row>
    <row r="151" spans="1:28">
      <c r="A151" s="88">
        <v>13</v>
      </c>
      <c r="B151" s="91" t="s">
        <v>19</v>
      </c>
      <c r="C151" s="89"/>
      <c r="D151" s="90"/>
      <c r="E151" s="90"/>
      <c r="F151" s="90">
        <f t="shared" si="0"/>
        <v>0</v>
      </c>
      <c r="G151" s="90"/>
      <c r="H151" s="90"/>
      <c r="I151" s="90"/>
      <c r="J151" s="90"/>
      <c r="K151" s="90"/>
      <c r="L151" s="90"/>
      <c r="M151" s="90"/>
      <c r="N151" s="90"/>
      <c r="O151" s="90"/>
      <c r="P151" s="2"/>
      <c r="Q151" s="2"/>
      <c r="R151" s="2"/>
      <c r="S151" s="2"/>
      <c r="T151" s="2"/>
      <c r="U151" s="2"/>
      <c r="V151" s="2"/>
      <c r="W151" s="2"/>
      <c r="X151" s="2"/>
      <c r="Y151" s="2"/>
      <c r="Z151" s="2"/>
      <c r="AA151" s="2"/>
      <c r="AB151" s="2"/>
    </row>
    <row r="152" spans="1:28" ht="45">
      <c r="A152" s="84">
        <v>14</v>
      </c>
      <c r="B152" s="85" t="s">
        <v>20</v>
      </c>
      <c r="C152" s="85"/>
      <c r="D152" s="86">
        <f>SUM(Смета_лит.Е!F13:F19)</f>
        <v>282800</v>
      </c>
      <c r="E152" s="86"/>
      <c r="F152" s="86">
        <f t="shared" si="0"/>
        <v>98980</v>
      </c>
      <c r="G152" s="86"/>
      <c r="H152" s="86"/>
      <c r="I152" s="86"/>
      <c r="J152" s="86"/>
      <c r="K152" s="86"/>
      <c r="L152" s="86"/>
      <c r="M152" s="86"/>
      <c r="N152" s="86"/>
      <c r="O152" s="86"/>
      <c r="P152" s="2"/>
      <c r="Q152" s="2"/>
      <c r="R152" s="2"/>
      <c r="S152" s="2"/>
      <c r="T152" s="2"/>
      <c r="U152" s="2"/>
      <c r="V152" s="2"/>
      <c r="W152" s="2"/>
      <c r="X152" s="2"/>
      <c r="Y152" s="2"/>
      <c r="Z152" s="2"/>
      <c r="AA152" s="2"/>
      <c r="AB152" s="2"/>
    </row>
    <row r="153" spans="1:28" s="191" customFormat="1" ht="30">
      <c r="A153" s="84">
        <v>14</v>
      </c>
      <c r="B153" s="4" t="s">
        <v>363</v>
      </c>
      <c r="C153" s="85"/>
      <c r="D153" s="86">
        <f>SUM(Смета_лит.Е!F67:F67)</f>
        <v>14040</v>
      </c>
      <c r="E153" s="86"/>
      <c r="F153" s="86">
        <f t="shared" ref="F153" si="1">D153*35%</f>
        <v>4914</v>
      </c>
      <c r="G153" s="86"/>
      <c r="H153" s="86"/>
      <c r="I153" s="86"/>
      <c r="J153" s="86"/>
      <c r="K153" s="86"/>
      <c r="L153" s="86"/>
      <c r="M153" s="86"/>
      <c r="N153" s="86"/>
      <c r="O153" s="86"/>
      <c r="P153" s="2"/>
      <c r="Q153" s="2"/>
      <c r="R153" s="2"/>
      <c r="S153" s="2"/>
      <c r="T153" s="2"/>
      <c r="U153" s="2"/>
      <c r="V153" s="2"/>
      <c r="W153" s="2"/>
      <c r="X153" s="2"/>
      <c r="Y153" s="2"/>
      <c r="Z153" s="2"/>
      <c r="AA153" s="2"/>
      <c r="AB153" s="2"/>
    </row>
    <row r="154" spans="1:28">
      <c r="A154" s="88" t="s">
        <v>21</v>
      </c>
      <c r="B154" s="91" t="s">
        <v>22</v>
      </c>
      <c r="C154" s="91"/>
      <c r="D154" s="90" t="e">
        <f>SUM(Смета_лит.Е!#REF!)</f>
        <v>#REF!</v>
      </c>
      <c r="E154" s="90"/>
      <c r="F154" s="90" t="e">
        <f t="shared" si="0"/>
        <v>#REF!</v>
      </c>
      <c r="G154" s="90"/>
      <c r="H154" s="90"/>
      <c r="I154" s="90"/>
      <c r="J154" s="90"/>
      <c r="K154" s="90"/>
      <c r="L154" s="90"/>
      <c r="M154" s="90"/>
      <c r="N154" s="90"/>
      <c r="O154" s="90"/>
      <c r="P154" s="2"/>
      <c r="Q154" s="2"/>
      <c r="R154" s="2"/>
      <c r="S154" s="2"/>
      <c r="T154" s="2"/>
      <c r="U154" s="2"/>
      <c r="V154" s="2"/>
      <c r="W154" s="2"/>
      <c r="X154" s="2"/>
      <c r="Y154" s="2"/>
      <c r="Z154" s="2"/>
      <c r="AA154" s="2"/>
      <c r="AB154" s="2"/>
    </row>
    <row r="155" spans="1:28">
      <c r="A155" s="88">
        <v>15</v>
      </c>
      <c r="B155" s="91" t="s">
        <v>23</v>
      </c>
      <c r="C155" s="89"/>
      <c r="D155" s="90">
        <f>SUM(Смета_лит.Е!F21:F21)</f>
        <v>9600</v>
      </c>
      <c r="E155" s="90"/>
      <c r="F155" s="90">
        <f t="shared" si="0"/>
        <v>3360</v>
      </c>
      <c r="G155" s="90"/>
      <c r="H155" s="90"/>
      <c r="I155" s="90"/>
      <c r="J155" s="90"/>
      <c r="K155" s="90"/>
      <c r="L155" s="90"/>
      <c r="M155" s="90"/>
      <c r="N155" s="90"/>
      <c r="O155" s="90"/>
      <c r="P155" s="2"/>
      <c r="Q155" s="2"/>
      <c r="R155" s="2"/>
      <c r="S155" s="2"/>
      <c r="T155" s="2"/>
      <c r="U155" s="2"/>
      <c r="V155" s="2"/>
      <c r="W155" s="2"/>
      <c r="X155" s="2"/>
      <c r="Y155" s="2"/>
      <c r="Z155" s="2"/>
      <c r="AA155" s="2"/>
      <c r="AB155" s="2"/>
    </row>
    <row r="156" spans="1:28">
      <c r="A156" s="84">
        <v>16</v>
      </c>
      <c r="B156" s="85" t="s">
        <v>24</v>
      </c>
      <c r="C156" s="87"/>
      <c r="D156" s="86">
        <f>SUM(Смета_лит.Е!F23:F23)</f>
        <v>206155.2</v>
      </c>
      <c r="E156" s="86"/>
      <c r="F156" s="86">
        <f t="shared" si="0"/>
        <v>72154.319999999992</v>
      </c>
      <c r="G156" s="86"/>
      <c r="H156" s="86"/>
      <c r="I156" s="86"/>
      <c r="J156" s="86"/>
      <c r="K156" s="86"/>
      <c r="L156" s="86"/>
      <c r="M156" s="86"/>
      <c r="N156" s="86"/>
      <c r="O156" s="86"/>
      <c r="P156" s="2"/>
      <c r="Q156" s="2"/>
      <c r="R156" s="2"/>
      <c r="S156" s="2"/>
      <c r="T156" s="2"/>
      <c r="U156" s="2"/>
      <c r="V156" s="2"/>
      <c r="W156" s="2"/>
      <c r="X156" s="2"/>
      <c r="Y156" s="2"/>
      <c r="Z156" s="2"/>
      <c r="AA156" s="2"/>
      <c r="AB156" s="2"/>
    </row>
    <row r="157" spans="1:28" ht="30">
      <c r="A157" s="88"/>
      <c r="B157" s="91" t="s">
        <v>25</v>
      </c>
      <c r="C157" s="91"/>
      <c r="D157" s="92"/>
      <c r="E157" s="92"/>
      <c r="F157" s="90">
        <f t="shared" si="0"/>
        <v>0</v>
      </c>
      <c r="G157" s="92"/>
      <c r="H157" s="90"/>
      <c r="I157" s="90"/>
      <c r="J157" s="90"/>
      <c r="K157" s="90"/>
      <c r="L157" s="90"/>
      <c r="M157" s="90"/>
      <c r="N157" s="90"/>
      <c r="O157" s="90"/>
      <c r="P157" s="2"/>
      <c r="Q157" s="2"/>
      <c r="R157" s="2"/>
      <c r="S157" s="2"/>
      <c r="T157" s="2"/>
      <c r="U157" s="2"/>
      <c r="V157" s="2"/>
      <c r="W157" s="2"/>
      <c r="X157" s="2"/>
      <c r="Y157" s="2"/>
      <c r="Z157" s="2"/>
      <c r="AA157" s="2"/>
      <c r="AB157" s="2"/>
    </row>
    <row r="158" spans="1:28">
      <c r="A158" s="84">
        <v>17</v>
      </c>
      <c r="B158" s="85" t="s">
        <v>26</v>
      </c>
      <c r="C158" s="87"/>
      <c r="D158" s="86">
        <f>SUM(Смета_лит.Е!F25:F26)</f>
        <v>121300</v>
      </c>
      <c r="E158" s="86"/>
      <c r="F158" s="86">
        <f t="shared" si="0"/>
        <v>42455</v>
      </c>
      <c r="G158" s="86"/>
      <c r="H158" s="86"/>
      <c r="I158" s="86"/>
      <c r="J158" s="86"/>
      <c r="K158" s="86"/>
      <c r="L158" s="86"/>
      <c r="M158" s="86"/>
      <c r="N158" s="86"/>
      <c r="O158" s="86"/>
      <c r="P158" s="2"/>
      <c r="Q158" s="2"/>
      <c r="R158" s="2"/>
      <c r="S158" s="2"/>
      <c r="T158" s="2"/>
      <c r="U158" s="2"/>
      <c r="V158" s="2"/>
      <c r="W158" s="2"/>
      <c r="X158" s="2"/>
      <c r="Y158" s="2"/>
      <c r="Z158" s="2"/>
      <c r="AA158" s="2"/>
      <c r="AB158" s="2"/>
    </row>
    <row r="159" spans="1:28">
      <c r="A159" s="84">
        <v>18</v>
      </c>
      <c r="B159" s="85" t="s">
        <v>27</v>
      </c>
      <c r="C159" s="87"/>
      <c r="D159" s="86">
        <f>SUM(Смета_лит.Е!F28:F28)</f>
        <v>138600</v>
      </c>
      <c r="E159" s="86"/>
      <c r="F159" s="86">
        <f t="shared" si="0"/>
        <v>48510</v>
      </c>
      <c r="G159" s="86"/>
      <c r="H159" s="86"/>
      <c r="I159" s="86"/>
      <c r="J159" s="86"/>
      <c r="K159" s="86"/>
      <c r="L159" s="86"/>
      <c r="M159" s="86"/>
      <c r="N159" s="86"/>
      <c r="O159" s="86"/>
      <c r="P159" s="2"/>
      <c r="Q159" s="2"/>
      <c r="R159" s="2"/>
      <c r="S159" s="2"/>
      <c r="T159" s="2"/>
      <c r="U159" s="2"/>
      <c r="V159" s="2"/>
      <c r="W159" s="2"/>
      <c r="X159" s="2"/>
      <c r="Y159" s="2"/>
      <c r="Z159" s="2"/>
      <c r="AA159" s="2"/>
      <c r="AB159" s="2"/>
    </row>
    <row r="160" spans="1:28">
      <c r="A160" s="88">
        <v>19</v>
      </c>
      <c r="B160" s="91" t="s">
        <v>28</v>
      </c>
      <c r="C160" s="89"/>
      <c r="D160" s="90">
        <f>SUM(Смета_лит.Е!F30:F31)</f>
        <v>98560</v>
      </c>
      <c r="E160" s="90"/>
      <c r="F160" s="90">
        <f t="shared" si="0"/>
        <v>34496</v>
      </c>
      <c r="G160" s="90"/>
      <c r="H160" s="90"/>
      <c r="I160" s="90"/>
      <c r="J160" s="90"/>
      <c r="K160" s="90"/>
      <c r="L160" s="90"/>
      <c r="M160" s="90"/>
      <c r="N160" s="90"/>
      <c r="O160" s="90"/>
      <c r="P160" s="2"/>
      <c r="Q160" s="2"/>
      <c r="R160" s="2"/>
      <c r="S160" s="2"/>
      <c r="T160" s="2"/>
      <c r="U160" s="2"/>
      <c r="V160" s="2"/>
      <c r="W160" s="2"/>
      <c r="X160" s="2"/>
      <c r="Y160" s="2"/>
      <c r="Z160" s="2"/>
      <c r="AA160" s="2"/>
      <c r="AB160" s="2"/>
    </row>
    <row r="161" spans="1:28" ht="15.75" customHeight="1">
      <c r="A161" s="84">
        <v>20</v>
      </c>
      <c r="B161" s="85" t="s">
        <v>29</v>
      </c>
      <c r="C161" s="87"/>
      <c r="D161" s="86">
        <f>SUM(Смета_лит.Е!F33)</f>
        <v>40000</v>
      </c>
      <c r="E161" s="86"/>
      <c r="F161" s="86">
        <v>40000</v>
      </c>
      <c r="G161" s="86"/>
      <c r="H161" s="86"/>
      <c r="I161" s="86"/>
      <c r="J161" s="86"/>
      <c r="K161" s="86"/>
      <c r="L161" s="86"/>
      <c r="M161" s="86"/>
      <c r="N161" s="86"/>
      <c r="O161" s="86"/>
      <c r="P161" s="2"/>
      <c r="Q161" s="2"/>
      <c r="R161" s="2"/>
      <c r="S161" s="2"/>
      <c r="T161" s="2"/>
      <c r="U161" s="2"/>
      <c r="V161" s="2"/>
      <c r="W161" s="2"/>
      <c r="X161" s="2"/>
      <c r="Y161" s="2"/>
      <c r="Z161" s="2"/>
      <c r="AA161" s="2"/>
      <c r="AB161" s="2"/>
    </row>
    <row r="162" spans="1:28" ht="15.75" customHeight="1">
      <c r="A162" s="84">
        <v>21</v>
      </c>
      <c r="B162" s="85" t="s">
        <v>30</v>
      </c>
      <c r="C162" s="87"/>
      <c r="D162" s="86">
        <f>SUM(Смета_лит.Е!F35)</f>
        <v>20000</v>
      </c>
      <c r="E162" s="86"/>
      <c r="F162" s="86">
        <v>20000</v>
      </c>
      <c r="G162" s="86"/>
      <c r="H162" s="86"/>
      <c r="I162" s="86"/>
      <c r="J162" s="86"/>
      <c r="K162" s="86"/>
      <c r="L162" s="86"/>
      <c r="M162" s="86"/>
      <c r="N162" s="86"/>
      <c r="O162" s="86"/>
      <c r="P162" s="2"/>
      <c r="Q162" s="2"/>
      <c r="R162" s="2"/>
      <c r="S162" s="2"/>
      <c r="T162" s="2"/>
      <c r="U162" s="2"/>
      <c r="V162" s="2"/>
      <c r="W162" s="2"/>
      <c r="X162" s="2"/>
      <c r="Y162" s="2"/>
      <c r="Z162" s="2"/>
      <c r="AA162" s="2"/>
      <c r="AB162" s="2"/>
    </row>
    <row r="163" spans="1:28" ht="15.75" customHeight="1">
      <c r="A163" s="84">
        <v>22</v>
      </c>
      <c r="B163" s="85" t="s">
        <v>31</v>
      </c>
      <c r="C163" s="87"/>
      <c r="D163" s="86">
        <f>SUM(Смета_лит.Е!F37:F39)</f>
        <v>399000</v>
      </c>
      <c r="E163" s="86"/>
      <c r="F163" s="86">
        <f t="shared" ref="F163:F176" si="2">D163*35%</f>
        <v>139650</v>
      </c>
      <c r="G163" s="86"/>
      <c r="H163" s="86"/>
      <c r="I163" s="86"/>
      <c r="J163" s="86"/>
      <c r="K163" s="86"/>
      <c r="L163" s="86"/>
      <c r="M163" s="86"/>
      <c r="N163" s="86"/>
      <c r="O163" s="86"/>
      <c r="P163" s="2"/>
      <c r="Q163" s="2"/>
      <c r="R163" s="2"/>
      <c r="S163" s="2"/>
      <c r="T163" s="2"/>
      <c r="U163" s="2"/>
      <c r="V163" s="2"/>
      <c r="W163" s="2"/>
      <c r="X163" s="2"/>
      <c r="Y163" s="2"/>
      <c r="Z163" s="2"/>
      <c r="AA163" s="2"/>
      <c r="AB163" s="2"/>
    </row>
    <row r="164" spans="1:28" ht="15.75" customHeight="1">
      <c r="A164" s="84">
        <v>23</v>
      </c>
      <c r="B164" s="85" t="s">
        <v>32</v>
      </c>
      <c r="C164" s="87"/>
      <c r="D164" s="86">
        <f>SUM(Смета_лит.Е!F41:F42)</f>
        <v>160000</v>
      </c>
      <c r="E164" s="86"/>
      <c r="F164" s="86">
        <f t="shared" si="2"/>
        <v>56000</v>
      </c>
      <c r="G164" s="86"/>
      <c r="H164" s="86"/>
      <c r="I164" s="86"/>
      <c r="J164" s="86"/>
      <c r="K164" s="86"/>
      <c r="L164" s="86"/>
      <c r="M164" s="86"/>
      <c r="N164" s="86"/>
      <c r="O164" s="86"/>
      <c r="P164" s="2"/>
      <c r="Q164" s="2"/>
      <c r="R164" s="2"/>
      <c r="S164" s="2"/>
      <c r="T164" s="2"/>
      <c r="U164" s="2"/>
      <c r="V164" s="2"/>
      <c r="W164" s="2"/>
      <c r="X164" s="2"/>
      <c r="Y164" s="2"/>
      <c r="Z164" s="2"/>
      <c r="AA164" s="2"/>
      <c r="AB164" s="2"/>
    </row>
    <row r="165" spans="1:28" ht="15.75" customHeight="1">
      <c r="A165" s="84">
        <v>24</v>
      </c>
      <c r="B165" s="85" t="s">
        <v>33</v>
      </c>
      <c r="C165" s="87"/>
      <c r="D165" s="86">
        <f>SUM(Смета_лит.Е!F44:F44)</f>
        <v>204375</v>
      </c>
      <c r="E165" s="86"/>
      <c r="F165" s="86">
        <f t="shared" si="2"/>
        <v>71531.25</v>
      </c>
      <c r="G165" s="86"/>
      <c r="H165" s="86"/>
      <c r="I165" s="86"/>
      <c r="J165" s="86"/>
      <c r="K165" s="86"/>
      <c r="L165" s="86"/>
      <c r="M165" s="86"/>
      <c r="N165" s="86"/>
      <c r="O165" s="86"/>
      <c r="P165" s="2"/>
      <c r="Q165" s="2"/>
      <c r="R165" s="2"/>
      <c r="S165" s="2"/>
      <c r="T165" s="2"/>
      <c r="U165" s="2"/>
      <c r="V165" s="2"/>
      <c r="W165" s="2"/>
      <c r="X165" s="2"/>
      <c r="Y165" s="2"/>
      <c r="Z165" s="2"/>
      <c r="AA165" s="2"/>
      <c r="AB165" s="2"/>
    </row>
    <row r="166" spans="1:28" ht="15.75" customHeight="1">
      <c r="A166" s="84">
        <v>25</v>
      </c>
      <c r="B166" s="85" t="s">
        <v>34</v>
      </c>
      <c r="C166" s="87"/>
      <c r="D166" s="86">
        <f>SUM(Смета_лит.Е!F46:F47)</f>
        <v>128800</v>
      </c>
      <c r="E166" s="86"/>
      <c r="F166" s="86">
        <f t="shared" si="2"/>
        <v>45080</v>
      </c>
      <c r="G166" s="86"/>
      <c r="H166" s="86"/>
      <c r="I166" s="86"/>
      <c r="J166" s="86"/>
      <c r="K166" s="86"/>
      <c r="L166" s="86"/>
      <c r="M166" s="86"/>
      <c r="N166" s="86"/>
      <c r="O166" s="86"/>
      <c r="P166" s="2"/>
      <c r="Q166" s="2"/>
      <c r="R166" s="2"/>
      <c r="S166" s="2"/>
      <c r="T166" s="2"/>
      <c r="U166" s="2"/>
      <c r="V166" s="2"/>
      <c r="W166" s="2"/>
      <c r="X166" s="2"/>
      <c r="Y166" s="2"/>
      <c r="Z166" s="2"/>
      <c r="AA166" s="2"/>
      <c r="AB166" s="2"/>
    </row>
    <row r="167" spans="1:28" ht="15.75" customHeight="1">
      <c r="A167" s="88">
        <v>26</v>
      </c>
      <c r="B167" s="91" t="s">
        <v>35</v>
      </c>
      <c r="C167" s="89"/>
      <c r="D167" s="90">
        <f>SUM(Смета_лит.Е!F49:F49)</f>
        <v>16066</v>
      </c>
      <c r="E167" s="90"/>
      <c r="F167" s="90">
        <f t="shared" si="2"/>
        <v>5623.0999999999995</v>
      </c>
      <c r="G167" s="90"/>
      <c r="H167" s="90"/>
      <c r="I167" s="90"/>
      <c r="J167" s="90"/>
      <c r="K167" s="90"/>
      <c r="L167" s="90"/>
      <c r="M167" s="90"/>
      <c r="N167" s="90"/>
      <c r="O167" s="90"/>
      <c r="P167" s="2"/>
      <c r="Q167" s="2"/>
      <c r="R167" s="2"/>
      <c r="S167" s="2"/>
      <c r="T167" s="2"/>
      <c r="U167" s="2"/>
      <c r="V167" s="2"/>
      <c r="W167" s="2"/>
      <c r="X167" s="2"/>
      <c r="Y167" s="2"/>
      <c r="Z167" s="2"/>
      <c r="AA167" s="2"/>
      <c r="AB167" s="2"/>
    </row>
    <row r="168" spans="1:28" ht="15.75" customHeight="1">
      <c r="A168" s="88">
        <v>27</v>
      </c>
      <c r="B168" s="91" t="s">
        <v>36</v>
      </c>
      <c r="C168" s="89"/>
      <c r="D168" s="90">
        <f>SUM(Смета_лит.Е!F51:F52)</f>
        <v>80300</v>
      </c>
      <c r="E168" s="90"/>
      <c r="F168" s="90">
        <f t="shared" si="2"/>
        <v>28105</v>
      </c>
      <c r="G168" s="90"/>
      <c r="H168" s="90"/>
      <c r="I168" s="90"/>
      <c r="J168" s="90"/>
      <c r="K168" s="90"/>
      <c r="L168" s="90"/>
      <c r="M168" s="90"/>
      <c r="N168" s="90"/>
      <c r="O168" s="90"/>
      <c r="P168" s="2"/>
      <c r="Q168" s="2"/>
      <c r="R168" s="2"/>
      <c r="S168" s="2"/>
      <c r="T168" s="2"/>
      <c r="U168" s="2"/>
      <c r="V168" s="2"/>
      <c r="W168" s="2"/>
      <c r="X168" s="2"/>
      <c r="Y168" s="2"/>
      <c r="Z168" s="2"/>
      <c r="AA168" s="2"/>
      <c r="AB168" s="2"/>
    </row>
    <row r="169" spans="1:28" ht="15.75" customHeight="1">
      <c r="A169" s="84">
        <v>28</v>
      </c>
      <c r="B169" s="85" t="s">
        <v>37</v>
      </c>
      <c r="C169" s="87"/>
      <c r="D169" s="86">
        <f>SUM(Смета_лит.Е!F54:F56)</f>
        <v>273000</v>
      </c>
      <c r="E169" s="86"/>
      <c r="F169" s="86">
        <f t="shared" si="2"/>
        <v>95550</v>
      </c>
      <c r="G169" s="86"/>
      <c r="H169" s="86"/>
      <c r="I169" s="86"/>
      <c r="J169" s="86"/>
      <c r="K169" s="86"/>
      <c r="L169" s="86"/>
      <c r="M169" s="86"/>
      <c r="N169" s="86"/>
      <c r="O169" s="86"/>
      <c r="P169" s="2"/>
      <c r="Q169" s="2"/>
      <c r="R169" s="2"/>
      <c r="S169" s="2"/>
      <c r="T169" s="2"/>
      <c r="U169" s="2"/>
      <c r="V169" s="2"/>
      <c r="W169" s="2"/>
      <c r="X169" s="2"/>
      <c r="Y169" s="2"/>
      <c r="Z169" s="2"/>
      <c r="AA169" s="2"/>
      <c r="AB169" s="2"/>
    </row>
    <row r="170" spans="1:28" ht="15.75" customHeight="1">
      <c r="A170" s="88">
        <v>29</v>
      </c>
      <c r="B170" s="91" t="s">
        <v>38</v>
      </c>
      <c r="C170" s="89"/>
      <c r="D170" s="90">
        <f>SUM(Смета_лит.Е!F58:F58)</f>
        <v>61200</v>
      </c>
      <c r="E170" s="90"/>
      <c r="F170" s="90">
        <f t="shared" si="2"/>
        <v>21420</v>
      </c>
      <c r="G170" s="90"/>
      <c r="H170" s="90"/>
      <c r="I170" s="90"/>
      <c r="J170" s="90"/>
      <c r="K170" s="90"/>
      <c r="L170" s="90"/>
      <c r="M170" s="90"/>
      <c r="N170" s="90"/>
      <c r="O170" s="90"/>
      <c r="P170" s="2"/>
      <c r="Q170" s="2"/>
      <c r="R170" s="2"/>
      <c r="S170" s="2"/>
      <c r="T170" s="2"/>
      <c r="U170" s="2"/>
      <c r="V170" s="2"/>
      <c r="W170" s="2"/>
      <c r="X170" s="2"/>
      <c r="Y170" s="2"/>
      <c r="Z170" s="2"/>
      <c r="AA170" s="2"/>
      <c r="AB170" s="2"/>
    </row>
    <row r="171" spans="1:28" ht="15.75" customHeight="1">
      <c r="A171" s="88">
        <v>30</v>
      </c>
      <c r="B171" s="91" t="s">
        <v>39</v>
      </c>
      <c r="C171" s="89"/>
      <c r="D171" s="90">
        <f>SUM(Смета_лит.Е!F60:F60)</f>
        <v>92800</v>
      </c>
      <c r="E171" s="90"/>
      <c r="F171" s="90">
        <f t="shared" si="2"/>
        <v>32479.999999999996</v>
      </c>
      <c r="G171" s="90"/>
      <c r="H171" s="90"/>
      <c r="I171" s="90"/>
      <c r="J171" s="90"/>
      <c r="K171" s="90"/>
      <c r="L171" s="90"/>
      <c r="M171" s="90"/>
      <c r="N171" s="90"/>
      <c r="O171" s="90"/>
      <c r="P171" s="2"/>
      <c r="Q171" s="2"/>
      <c r="R171" s="2"/>
      <c r="S171" s="2"/>
      <c r="T171" s="2"/>
      <c r="U171" s="2"/>
      <c r="V171" s="2"/>
      <c r="W171" s="2"/>
      <c r="X171" s="2"/>
      <c r="Y171" s="2"/>
      <c r="Z171" s="2"/>
      <c r="AA171" s="2"/>
      <c r="AB171" s="2"/>
    </row>
    <row r="172" spans="1:28" ht="15.75" customHeight="1">
      <c r="A172" s="88">
        <v>31</v>
      </c>
      <c r="B172" s="91" t="s">
        <v>40</v>
      </c>
      <c r="C172" s="89"/>
      <c r="D172" s="90">
        <f>SUM(Смета_лит.Е!F62:F62)</f>
        <v>54720</v>
      </c>
      <c r="E172" s="90"/>
      <c r="F172" s="90">
        <f t="shared" si="2"/>
        <v>19152</v>
      </c>
      <c r="G172" s="90"/>
      <c r="H172" s="90"/>
      <c r="I172" s="90"/>
      <c r="J172" s="90"/>
      <c r="K172" s="90"/>
      <c r="L172" s="90"/>
      <c r="M172" s="90"/>
      <c r="N172" s="90"/>
      <c r="O172" s="90"/>
      <c r="P172" s="2"/>
      <c r="Q172" s="2"/>
      <c r="R172" s="2"/>
      <c r="S172" s="2"/>
      <c r="T172" s="2"/>
      <c r="U172" s="2"/>
      <c r="V172" s="2"/>
      <c r="W172" s="2"/>
      <c r="X172" s="2"/>
      <c r="Y172" s="2"/>
      <c r="Z172" s="2"/>
      <c r="AA172" s="2"/>
      <c r="AB172" s="2"/>
    </row>
    <row r="173" spans="1:28" ht="15.75" customHeight="1">
      <c r="A173" s="88">
        <v>32</v>
      </c>
      <c r="B173" s="91" t="s">
        <v>41</v>
      </c>
      <c r="C173" s="89"/>
      <c r="D173" s="90">
        <f>SUM(Смета_лит.Е!F64:F65)</f>
        <v>61120</v>
      </c>
      <c r="E173" s="90"/>
      <c r="F173" s="90">
        <f t="shared" si="2"/>
        <v>21392</v>
      </c>
      <c r="G173" s="90"/>
      <c r="H173" s="90"/>
      <c r="I173" s="90"/>
      <c r="J173" s="90"/>
      <c r="K173" s="90"/>
      <c r="L173" s="90"/>
      <c r="M173" s="90"/>
      <c r="N173" s="90"/>
      <c r="O173" s="90"/>
      <c r="P173" s="2"/>
      <c r="Q173" s="2"/>
      <c r="R173" s="2"/>
      <c r="S173" s="2"/>
      <c r="T173" s="2"/>
      <c r="U173" s="2"/>
      <c r="V173" s="2"/>
      <c r="W173" s="2"/>
      <c r="X173" s="2"/>
      <c r="Y173" s="2"/>
      <c r="Z173" s="2"/>
      <c r="AA173" s="2"/>
      <c r="AB173" s="2"/>
    </row>
    <row r="174" spans="1:28" ht="15.75" customHeight="1">
      <c r="A174" s="84">
        <v>33</v>
      </c>
      <c r="B174" s="85" t="s">
        <v>42</v>
      </c>
      <c r="C174" s="87"/>
      <c r="D174" s="86">
        <f>SUM(Смета_лит.Е!F69:F73)</f>
        <v>95280</v>
      </c>
      <c r="E174" s="86"/>
      <c r="F174" s="86">
        <f t="shared" si="2"/>
        <v>33348</v>
      </c>
      <c r="G174" s="86"/>
      <c r="H174" s="86"/>
      <c r="I174" s="86"/>
      <c r="J174" s="86"/>
      <c r="K174" s="86"/>
      <c r="L174" s="86"/>
      <c r="M174" s="86"/>
      <c r="N174" s="86"/>
      <c r="O174" s="86"/>
      <c r="P174" s="2"/>
      <c r="Q174" s="2"/>
      <c r="R174" s="2"/>
      <c r="S174" s="2"/>
      <c r="T174" s="2"/>
      <c r="U174" s="2"/>
      <c r="V174" s="2"/>
      <c r="W174" s="2"/>
      <c r="X174" s="2"/>
      <c r="Y174" s="2"/>
      <c r="Z174" s="2"/>
      <c r="AA174" s="2"/>
      <c r="AB174" s="2"/>
    </row>
    <row r="175" spans="1:28" ht="15.75" customHeight="1">
      <c r="A175" s="89"/>
      <c r="B175" s="91"/>
      <c r="C175" s="89"/>
      <c r="D175" s="90"/>
      <c r="E175" s="90"/>
      <c r="F175" s="90">
        <f t="shared" si="2"/>
        <v>0</v>
      </c>
      <c r="G175" s="90"/>
      <c r="H175" s="90"/>
      <c r="I175" s="90"/>
      <c r="J175" s="90"/>
      <c r="K175" s="90"/>
      <c r="L175" s="90"/>
      <c r="M175" s="90"/>
      <c r="N175" s="90"/>
      <c r="O175" s="90"/>
      <c r="P175" s="2"/>
      <c r="Q175" s="2"/>
      <c r="R175" s="2"/>
      <c r="S175" s="2"/>
      <c r="T175" s="2"/>
      <c r="U175" s="2"/>
      <c r="V175" s="2"/>
      <c r="W175" s="2"/>
      <c r="X175" s="2"/>
      <c r="Y175" s="2"/>
      <c r="Z175" s="2"/>
      <c r="AA175" s="2"/>
      <c r="AB175" s="2"/>
    </row>
    <row r="176" spans="1:28" ht="15.75" customHeight="1">
      <c r="A176" s="89"/>
      <c r="B176" s="91"/>
      <c r="C176" s="89"/>
      <c r="D176" s="90"/>
      <c r="E176" s="90"/>
      <c r="F176" s="90">
        <f t="shared" si="2"/>
        <v>0</v>
      </c>
      <c r="G176" s="90"/>
      <c r="H176" s="90"/>
      <c r="I176" s="90"/>
      <c r="J176" s="90"/>
      <c r="K176" s="90"/>
      <c r="L176" s="90"/>
      <c r="M176" s="90"/>
      <c r="N176" s="90"/>
      <c r="O176" s="90"/>
      <c r="P176" s="2"/>
      <c r="Q176" s="2"/>
      <c r="R176" s="2"/>
      <c r="S176" s="2"/>
      <c r="T176" s="2"/>
      <c r="U176" s="2"/>
      <c r="V176" s="2"/>
      <c r="W176" s="2"/>
      <c r="X176" s="2"/>
      <c r="Y176" s="2"/>
      <c r="Z176" s="2"/>
      <c r="AA176" s="2"/>
      <c r="AB176" s="2"/>
    </row>
    <row r="177" spans="1:28" ht="15.75" customHeight="1">
      <c r="A177" s="87"/>
      <c r="B177" s="85" t="s">
        <v>43</v>
      </c>
      <c r="C177" s="87"/>
      <c r="D177" s="86" t="e">
        <f>SUM(D21:D176)</f>
        <v>#REF!</v>
      </c>
      <c r="E177" s="86"/>
      <c r="F177" s="86" t="e">
        <f>SUM(F46:F176)</f>
        <v>#REF!</v>
      </c>
      <c r="G177" s="86"/>
      <c r="H177" s="86"/>
      <c r="I177" s="86"/>
      <c r="J177" s="86"/>
      <c r="K177" s="86"/>
      <c r="L177" s="86"/>
      <c r="M177" s="86"/>
      <c r="N177" s="86"/>
      <c r="O177" s="86"/>
      <c r="P177" s="2"/>
      <c r="Q177" s="2"/>
      <c r="R177" s="2"/>
      <c r="S177" s="2"/>
      <c r="T177" s="2"/>
      <c r="U177" s="2"/>
      <c r="V177" s="2"/>
      <c r="W177" s="2"/>
      <c r="X177" s="2"/>
      <c r="Y177" s="2"/>
      <c r="Z177" s="2"/>
      <c r="AA177" s="2"/>
      <c r="AB177" s="2"/>
    </row>
    <row r="178" spans="1:28" ht="15.75" customHeight="1">
      <c r="A178" s="93"/>
      <c r="B178" s="119" t="s">
        <v>43</v>
      </c>
      <c r="C178" s="93"/>
      <c r="D178" s="94"/>
      <c r="E178" s="95"/>
      <c r="F178" s="96"/>
      <c r="G178" s="95"/>
      <c r="H178" s="96"/>
      <c r="I178" s="96"/>
      <c r="J178" s="96"/>
      <c r="K178" s="96"/>
      <c r="L178" s="96"/>
      <c r="M178" s="96"/>
      <c r="N178" s="96"/>
      <c r="O178" s="96"/>
      <c r="P178" s="2"/>
      <c r="Q178" s="2"/>
      <c r="R178" s="2"/>
      <c r="S178" s="2"/>
      <c r="T178" s="2"/>
      <c r="U178" s="2"/>
      <c r="V178" s="2"/>
      <c r="W178" s="2"/>
      <c r="X178" s="2"/>
      <c r="Y178" s="2"/>
      <c r="Z178" s="2"/>
      <c r="AA178" s="2"/>
      <c r="AB178" s="2"/>
    </row>
    <row r="179" spans="1:28" ht="15.75" customHeight="1">
      <c r="A179" s="2"/>
      <c r="B179" s="120"/>
      <c r="C179" s="2"/>
      <c r="D179" s="9"/>
      <c r="E179" s="9"/>
      <c r="F179" s="9"/>
      <c r="G179" s="9"/>
      <c r="H179" s="9"/>
      <c r="I179" s="9"/>
      <c r="J179" s="9"/>
      <c r="K179" s="9"/>
      <c r="L179" s="9"/>
      <c r="M179" s="9"/>
      <c r="N179" s="9"/>
      <c r="O179" s="9"/>
      <c r="P179" s="2"/>
      <c r="Q179" s="2"/>
      <c r="R179" s="2"/>
      <c r="S179" s="2"/>
      <c r="T179" s="2"/>
      <c r="U179" s="2"/>
      <c r="V179" s="2"/>
      <c r="W179" s="2"/>
      <c r="X179" s="2"/>
      <c r="Y179" s="2"/>
      <c r="Z179" s="2"/>
      <c r="AA179" s="2"/>
      <c r="AB179" s="2"/>
    </row>
    <row r="180" spans="1:28" ht="15.75" customHeight="1">
      <c r="A180" s="2"/>
      <c r="B180" s="120"/>
      <c r="C180" s="2"/>
      <c r="D180" s="9"/>
      <c r="E180" s="9"/>
      <c r="F180" s="9"/>
      <c r="G180" s="9"/>
      <c r="H180" s="9"/>
      <c r="I180" s="9"/>
      <c r="J180" s="9"/>
      <c r="K180" s="9"/>
      <c r="L180" s="9"/>
      <c r="M180" s="9"/>
      <c r="N180" s="9"/>
      <c r="O180" s="9"/>
      <c r="P180" s="2"/>
      <c r="Q180" s="2"/>
      <c r="R180" s="2"/>
      <c r="S180" s="2"/>
      <c r="T180" s="2"/>
      <c r="U180" s="2"/>
      <c r="V180" s="2"/>
      <c r="W180" s="2"/>
      <c r="X180" s="2"/>
      <c r="Y180" s="2"/>
      <c r="Z180" s="2"/>
      <c r="AA180" s="2"/>
      <c r="AB180" s="2"/>
    </row>
    <row r="181" spans="1:28" ht="15.75" customHeight="1">
      <c r="A181" s="2"/>
      <c r="B181" s="120"/>
      <c r="C181" s="2"/>
      <c r="D181" s="9"/>
      <c r="E181" s="9"/>
      <c r="F181" s="9"/>
      <c r="G181" s="9"/>
      <c r="H181" s="9"/>
      <c r="I181" s="9"/>
      <c r="J181" s="9"/>
      <c r="K181" s="9"/>
      <c r="L181" s="9"/>
      <c r="M181" s="9"/>
      <c r="N181" s="9"/>
      <c r="O181" s="9"/>
      <c r="P181" s="2"/>
      <c r="Q181" s="2"/>
      <c r="R181" s="2"/>
      <c r="S181" s="2"/>
      <c r="T181" s="2"/>
      <c r="U181" s="2"/>
      <c r="V181" s="2"/>
      <c r="W181" s="2"/>
      <c r="X181" s="2"/>
      <c r="Y181" s="2"/>
      <c r="Z181" s="2"/>
      <c r="AA181" s="2"/>
      <c r="AB181" s="2"/>
    </row>
    <row r="182" spans="1:28" ht="15.75" customHeight="1">
      <c r="A182" s="2"/>
      <c r="B182" s="120"/>
      <c r="C182" s="2"/>
      <c r="D182" s="9"/>
      <c r="E182" s="9"/>
      <c r="F182" s="9"/>
      <c r="G182" s="9"/>
      <c r="H182" s="9"/>
      <c r="I182" s="9"/>
      <c r="J182" s="9"/>
      <c r="K182" s="9"/>
      <c r="L182" s="9"/>
      <c r="M182" s="9"/>
      <c r="N182" s="9"/>
      <c r="O182" s="9"/>
      <c r="P182" s="2"/>
      <c r="Q182" s="2"/>
      <c r="R182" s="2"/>
      <c r="S182" s="2"/>
      <c r="T182" s="2"/>
      <c r="U182" s="2"/>
      <c r="V182" s="2"/>
      <c r="W182" s="2"/>
      <c r="X182" s="2"/>
      <c r="Y182" s="2"/>
      <c r="Z182" s="2"/>
      <c r="AA182" s="2"/>
      <c r="AB182" s="2"/>
    </row>
    <row r="183" spans="1:28" ht="15.75" customHeight="1">
      <c r="A183" s="2"/>
      <c r="B183" s="120"/>
      <c r="C183" s="2"/>
      <c r="D183" s="9"/>
      <c r="E183" s="9"/>
      <c r="F183" s="9"/>
      <c r="G183" s="9"/>
      <c r="H183" s="9"/>
      <c r="I183" s="9"/>
      <c r="J183" s="9"/>
      <c r="K183" s="9"/>
      <c r="L183" s="9"/>
      <c r="M183" s="9"/>
      <c r="N183" s="9"/>
      <c r="O183" s="9"/>
      <c r="P183" s="2"/>
      <c r="Q183" s="2"/>
      <c r="R183" s="2"/>
      <c r="S183" s="2"/>
      <c r="T183" s="2"/>
      <c r="U183" s="2"/>
      <c r="V183" s="2"/>
      <c r="W183" s="2"/>
      <c r="X183" s="2"/>
      <c r="Y183" s="2"/>
      <c r="Z183" s="2"/>
      <c r="AA183" s="2"/>
      <c r="AB183" s="2"/>
    </row>
    <row r="184" spans="1:28" ht="15.75" customHeight="1">
      <c r="A184" s="2"/>
      <c r="B184" s="120"/>
      <c r="C184" s="2"/>
      <c r="D184" s="9"/>
      <c r="E184" s="9"/>
      <c r="F184" s="9"/>
      <c r="G184" s="9"/>
      <c r="H184" s="9"/>
      <c r="I184" s="9"/>
      <c r="J184" s="9"/>
      <c r="K184" s="9"/>
      <c r="L184" s="9"/>
      <c r="M184" s="9"/>
      <c r="N184" s="9"/>
      <c r="O184" s="9"/>
      <c r="P184" s="2"/>
      <c r="Q184" s="2"/>
      <c r="R184" s="2"/>
      <c r="S184" s="2"/>
      <c r="T184" s="2"/>
      <c r="U184" s="2"/>
      <c r="V184" s="2"/>
      <c r="W184" s="2"/>
      <c r="X184" s="2"/>
      <c r="Y184" s="2"/>
      <c r="Z184" s="2"/>
      <c r="AA184" s="2"/>
      <c r="AB184" s="2"/>
    </row>
    <row r="185" spans="1:28" ht="15.75" customHeight="1">
      <c r="A185" s="2"/>
      <c r="B185" s="120"/>
      <c r="C185" s="2"/>
      <c r="D185" s="9"/>
      <c r="E185" s="9"/>
      <c r="F185" s="9"/>
      <c r="G185" s="9"/>
      <c r="H185" s="9"/>
      <c r="I185" s="9"/>
      <c r="J185" s="9"/>
      <c r="K185" s="9"/>
      <c r="L185" s="9"/>
      <c r="M185" s="9"/>
      <c r="N185" s="9"/>
      <c r="O185" s="9"/>
      <c r="P185" s="2"/>
      <c r="Q185" s="2"/>
      <c r="R185" s="2"/>
      <c r="S185" s="2"/>
      <c r="T185" s="2"/>
      <c r="U185" s="2"/>
      <c r="V185" s="2"/>
      <c r="W185" s="2"/>
      <c r="X185" s="2"/>
      <c r="Y185" s="2"/>
      <c r="Z185" s="2"/>
      <c r="AA185" s="2"/>
      <c r="AB185" s="2"/>
    </row>
    <row r="186" spans="1:28" ht="15.75" customHeight="1">
      <c r="A186" s="2"/>
      <c r="B186" s="120"/>
      <c r="C186" s="2"/>
      <c r="D186" s="9"/>
      <c r="E186" s="9"/>
      <c r="F186" s="9"/>
      <c r="G186" s="9"/>
      <c r="H186" s="9"/>
      <c r="I186" s="9"/>
      <c r="J186" s="9"/>
      <c r="K186" s="9"/>
      <c r="L186" s="9"/>
      <c r="M186" s="9"/>
      <c r="N186" s="9"/>
      <c r="O186" s="9"/>
      <c r="P186" s="2"/>
      <c r="Q186" s="2"/>
      <c r="R186" s="2"/>
      <c r="S186" s="2"/>
      <c r="T186" s="2"/>
      <c r="U186" s="2"/>
      <c r="V186" s="2"/>
      <c r="W186" s="2"/>
      <c r="X186" s="2"/>
      <c r="Y186" s="2"/>
      <c r="Z186" s="2"/>
      <c r="AA186" s="2"/>
      <c r="AB186" s="2"/>
    </row>
    <row r="187" spans="1:28" ht="15.75" customHeight="1">
      <c r="A187" s="2"/>
      <c r="B187" s="120"/>
      <c r="C187" s="2"/>
      <c r="D187" s="9"/>
      <c r="E187" s="9"/>
      <c r="F187" s="9"/>
      <c r="G187" s="9"/>
      <c r="H187" s="9"/>
      <c r="I187" s="9"/>
      <c r="J187" s="9"/>
      <c r="K187" s="9"/>
      <c r="L187" s="9"/>
      <c r="M187" s="9"/>
      <c r="N187" s="9"/>
      <c r="O187" s="9"/>
      <c r="P187" s="2"/>
      <c r="Q187" s="2"/>
      <c r="R187" s="2"/>
      <c r="S187" s="2"/>
      <c r="T187" s="2"/>
      <c r="U187" s="2"/>
      <c r="V187" s="2"/>
      <c r="W187" s="2"/>
      <c r="X187" s="2"/>
      <c r="Y187" s="2"/>
      <c r="Z187" s="2"/>
      <c r="AA187" s="2"/>
      <c r="AB187" s="2"/>
    </row>
    <row r="188" spans="1:28" ht="15.75" customHeight="1">
      <c r="A188" s="2"/>
      <c r="B188" s="120"/>
      <c r="C188" s="2"/>
      <c r="D188" s="9"/>
      <c r="E188" s="9"/>
      <c r="F188" s="9"/>
      <c r="G188" s="9"/>
      <c r="H188" s="9"/>
      <c r="I188" s="9"/>
      <c r="J188" s="9"/>
      <c r="K188" s="9"/>
      <c r="L188" s="9"/>
      <c r="M188" s="9"/>
      <c r="N188" s="9"/>
      <c r="O188" s="9"/>
      <c r="P188" s="2"/>
      <c r="Q188" s="2"/>
      <c r="R188" s="2"/>
      <c r="S188" s="2"/>
      <c r="T188" s="2"/>
      <c r="U188" s="2"/>
      <c r="V188" s="2"/>
      <c r="W188" s="2"/>
      <c r="X188" s="2"/>
      <c r="Y188" s="2"/>
      <c r="Z188" s="2"/>
      <c r="AA188" s="2"/>
      <c r="AB188" s="2"/>
    </row>
    <row r="189" spans="1:28" ht="15.75" customHeight="1">
      <c r="A189" s="2"/>
      <c r="B189" s="120"/>
      <c r="C189" s="2"/>
      <c r="D189" s="9"/>
      <c r="E189" s="9"/>
      <c r="F189" s="9"/>
      <c r="G189" s="9"/>
      <c r="H189" s="9"/>
      <c r="I189" s="9"/>
      <c r="J189" s="9"/>
      <c r="K189" s="9"/>
      <c r="L189" s="9"/>
      <c r="M189" s="9"/>
      <c r="N189" s="9"/>
      <c r="O189" s="9"/>
      <c r="P189" s="2"/>
      <c r="Q189" s="2"/>
      <c r="R189" s="2"/>
      <c r="S189" s="2"/>
      <c r="T189" s="2"/>
      <c r="U189" s="2"/>
      <c r="V189" s="2"/>
      <c r="W189" s="2"/>
      <c r="X189" s="2"/>
      <c r="Y189" s="2"/>
      <c r="Z189" s="2"/>
      <c r="AA189" s="2"/>
      <c r="AB189" s="2"/>
    </row>
    <row r="190" spans="1:28" ht="15.75" customHeight="1">
      <c r="A190" s="2"/>
      <c r="B190" s="120"/>
      <c r="C190" s="2"/>
      <c r="D190" s="9"/>
      <c r="E190" s="9"/>
      <c r="F190" s="9"/>
      <c r="G190" s="9"/>
      <c r="H190" s="9"/>
      <c r="I190" s="9"/>
      <c r="J190" s="9"/>
      <c r="K190" s="9"/>
      <c r="L190" s="9"/>
      <c r="M190" s="9"/>
      <c r="N190" s="9"/>
      <c r="O190" s="9"/>
      <c r="P190" s="2"/>
      <c r="Q190" s="2"/>
      <c r="R190" s="2"/>
      <c r="S190" s="2"/>
      <c r="T190" s="2"/>
      <c r="U190" s="2"/>
      <c r="V190" s="2"/>
      <c r="W190" s="2"/>
      <c r="X190" s="2"/>
      <c r="Y190" s="2"/>
      <c r="Z190" s="2"/>
      <c r="AA190" s="2"/>
      <c r="AB190" s="2"/>
    </row>
    <row r="191" spans="1:28" ht="15.75" customHeight="1">
      <c r="A191" s="2"/>
      <c r="B191" s="120"/>
      <c r="C191" s="2"/>
      <c r="D191" s="9"/>
      <c r="E191" s="9"/>
      <c r="F191" s="9"/>
      <c r="G191" s="9"/>
      <c r="H191" s="9"/>
      <c r="I191" s="9"/>
      <c r="J191" s="9"/>
      <c r="K191" s="9"/>
      <c r="L191" s="9"/>
      <c r="M191" s="9"/>
      <c r="N191" s="9"/>
      <c r="O191" s="9"/>
      <c r="P191" s="2"/>
      <c r="Q191" s="2"/>
      <c r="R191" s="2"/>
      <c r="S191" s="2"/>
      <c r="T191" s="2"/>
      <c r="U191" s="2"/>
      <c r="V191" s="2"/>
      <c r="W191" s="2"/>
      <c r="X191" s="2"/>
      <c r="Y191" s="2"/>
      <c r="Z191" s="2"/>
      <c r="AA191" s="2"/>
      <c r="AB191" s="2"/>
    </row>
    <row r="192" spans="1:28" ht="15.75" customHeight="1">
      <c r="A192" s="2"/>
      <c r="B192" s="120"/>
      <c r="C192" s="2"/>
      <c r="D192" s="9"/>
      <c r="E192" s="9"/>
      <c r="F192" s="9"/>
      <c r="G192" s="9"/>
      <c r="H192" s="9"/>
      <c r="I192" s="9"/>
      <c r="J192" s="9"/>
      <c r="K192" s="9"/>
      <c r="L192" s="9"/>
      <c r="M192" s="9"/>
      <c r="N192" s="9"/>
      <c r="O192" s="9"/>
      <c r="P192" s="2"/>
      <c r="Q192" s="2"/>
      <c r="R192" s="2"/>
      <c r="S192" s="2"/>
      <c r="T192" s="2"/>
      <c r="U192" s="2"/>
      <c r="V192" s="2"/>
      <c r="W192" s="2"/>
      <c r="X192" s="2"/>
      <c r="Y192" s="2"/>
      <c r="Z192" s="2"/>
      <c r="AA192" s="2"/>
      <c r="AB192" s="2"/>
    </row>
    <row r="193" spans="1:28" ht="15.75" customHeight="1">
      <c r="A193" s="2"/>
      <c r="B193" s="120"/>
      <c r="C193" s="2"/>
      <c r="D193" s="9"/>
      <c r="E193" s="9"/>
      <c r="F193" s="9"/>
      <c r="G193" s="9"/>
      <c r="H193" s="9"/>
      <c r="I193" s="9"/>
      <c r="J193" s="9"/>
      <c r="K193" s="9"/>
      <c r="L193" s="9"/>
      <c r="M193" s="9"/>
      <c r="N193" s="9"/>
      <c r="O193" s="9"/>
      <c r="P193" s="2"/>
      <c r="Q193" s="2"/>
      <c r="R193" s="2"/>
      <c r="S193" s="2"/>
      <c r="T193" s="2"/>
      <c r="U193" s="2"/>
      <c r="V193" s="2"/>
      <c r="W193" s="2"/>
      <c r="X193" s="2"/>
      <c r="Y193" s="2"/>
      <c r="Z193" s="2"/>
      <c r="AA193" s="2"/>
      <c r="AB193" s="2"/>
    </row>
    <row r="194" spans="1:28" ht="15.75" customHeight="1">
      <c r="A194" s="2"/>
      <c r="B194" s="120"/>
      <c r="C194" s="2"/>
      <c r="D194" s="9"/>
      <c r="E194" s="9"/>
      <c r="F194" s="9"/>
      <c r="G194" s="9"/>
      <c r="H194" s="9"/>
      <c r="I194" s="9"/>
      <c r="J194" s="9"/>
      <c r="K194" s="9"/>
      <c r="L194" s="9"/>
      <c r="M194" s="9"/>
      <c r="N194" s="9"/>
      <c r="O194" s="9"/>
      <c r="P194" s="2"/>
      <c r="Q194" s="2"/>
      <c r="R194" s="2"/>
      <c r="S194" s="2"/>
      <c r="T194" s="2"/>
      <c r="U194" s="2"/>
      <c r="V194" s="2"/>
      <c r="W194" s="2"/>
      <c r="X194" s="2"/>
      <c r="Y194" s="2"/>
      <c r="Z194" s="2"/>
      <c r="AA194" s="2"/>
      <c r="AB194" s="2"/>
    </row>
    <row r="195" spans="1:28" ht="15.75" customHeight="1">
      <c r="A195" s="2"/>
      <c r="B195" s="120"/>
      <c r="C195" s="2"/>
      <c r="D195" s="9"/>
      <c r="E195" s="9"/>
      <c r="F195" s="9"/>
      <c r="G195" s="9"/>
      <c r="H195" s="9"/>
      <c r="I195" s="9"/>
      <c r="J195" s="9"/>
      <c r="K195" s="9"/>
      <c r="L195" s="9"/>
      <c r="M195" s="9"/>
      <c r="N195" s="9"/>
      <c r="O195" s="9"/>
      <c r="P195" s="2"/>
      <c r="Q195" s="2"/>
      <c r="R195" s="2"/>
      <c r="S195" s="2"/>
      <c r="T195" s="2"/>
      <c r="U195" s="2"/>
      <c r="V195" s="2"/>
      <c r="W195" s="2"/>
      <c r="X195" s="2"/>
      <c r="Y195" s="2"/>
      <c r="Z195" s="2"/>
      <c r="AA195" s="2"/>
      <c r="AB195" s="2"/>
    </row>
    <row r="196" spans="1:28" ht="15.75" customHeight="1">
      <c r="A196" s="2"/>
      <c r="B196" s="120"/>
      <c r="C196" s="2"/>
      <c r="D196" s="9"/>
      <c r="E196" s="9"/>
      <c r="F196" s="9"/>
      <c r="G196" s="9"/>
      <c r="H196" s="9"/>
      <c r="I196" s="9"/>
      <c r="J196" s="9"/>
      <c r="K196" s="9"/>
      <c r="L196" s="9"/>
      <c r="M196" s="9"/>
      <c r="N196" s="9"/>
      <c r="O196" s="9"/>
      <c r="P196" s="2"/>
      <c r="Q196" s="2"/>
      <c r="R196" s="2"/>
      <c r="S196" s="2"/>
      <c r="T196" s="2"/>
      <c r="U196" s="2"/>
      <c r="V196" s="2"/>
      <c r="W196" s="2"/>
      <c r="X196" s="2"/>
      <c r="Y196" s="2"/>
      <c r="Z196" s="2"/>
      <c r="AA196" s="2"/>
      <c r="AB196" s="2"/>
    </row>
    <row r="197" spans="1:28" ht="15.75" customHeight="1">
      <c r="A197" s="2"/>
      <c r="B197" s="120"/>
      <c r="C197" s="2"/>
      <c r="D197" s="9"/>
      <c r="E197" s="9"/>
      <c r="F197" s="9"/>
      <c r="G197" s="9"/>
      <c r="H197" s="9"/>
      <c r="I197" s="9"/>
      <c r="J197" s="9"/>
      <c r="K197" s="9"/>
      <c r="L197" s="9"/>
      <c r="M197" s="9"/>
      <c r="N197" s="9"/>
      <c r="O197" s="9"/>
      <c r="P197" s="2"/>
      <c r="Q197" s="2"/>
      <c r="R197" s="2"/>
      <c r="S197" s="2"/>
      <c r="T197" s="2"/>
      <c r="U197" s="2"/>
      <c r="V197" s="2"/>
      <c r="W197" s="2"/>
      <c r="X197" s="2"/>
      <c r="Y197" s="2"/>
      <c r="Z197" s="2"/>
      <c r="AA197" s="2"/>
      <c r="AB197" s="2"/>
    </row>
    <row r="198" spans="1:28" ht="15.75" customHeight="1">
      <c r="A198" s="2"/>
      <c r="B198" s="120"/>
      <c r="C198" s="2"/>
      <c r="D198" s="9"/>
      <c r="E198" s="9"/>
      <c r="F198" s="9"/>
      <c r="G198" s="9"/>
      <c r="H198" s="9"/>
      <c r="I198" s="9"/>
      <c r="J198" s="9"/>
      <c r="K198" s="9"/>
      <c r="L198" s="9"/>
      <c r="M198" s="9"/>
      <c r="N198" s="9"/>
      <c r="O198" s="9"/>
      <c r="P198" s="2"/>
      <c r="Q198" s="2"/>
      <c r="R198" s="2"/>
      <c r="S198" s="2"/>
      <c r="T198" s="2"/>
      <c r="U198" s="2"/>
      <c r="V198" s="2"/>
      <c r="W198" s="2"/>
      <c r="X198" s="2"/>
      <c r="Y198" s="2"/>
      <c r="Z198" s="2"/>
      <c r="AA198" s="2"/>
      <c r="AB198" s="2"/>
    </row>
    <row r="199" spans="1:28" ht="15.75" customHeight="1">
      <c r="A199" s="2"/>
      <c r="B199" s="120"/>
      <c r="C199" s="2"/>
      <c r="D199" s="9"/>
      <c r="E199" s="9"/>
      <c r="F199" s="9"/>
      <c r="G199" s="9"/>
      <c r="H199" s="9"/>
      <c r="I199" s="9"/>
      <c r="J199" s="9"/>
      <c r="K199" s="9"/>
      <c r="L199" s="9"/>
      <c r="M199" s="9"/>
      <c r="N199" s="9"/>
      <c r="O199" s="9"/>
      <c r="P199" s="2"/>
      <c r="Q199" s="2"/>
      <c r="R199" s="2"/>
      <c r="S199" s="2"/>
      <c r="T199" s="2"/>
      <c r="U199" s="2"/>
      <c r="V199" s="2"/>
      <c r="W199" s="2"/>
      <c r="X199" s="2"/>
      <c r="Y199" s="2"/>
      <c r="Z199" s="2"/>
      <c r="AA199" s="2"/>
      <c r="AB199" s="2"/>
    </row>
    <row r="200" spans="1:28" ht="15.75" customHeight="1">
      <c r="A200" s="2"/>
      <c r="B200" s="120"/>
      <c r="C200" s="2"/>
      <c r="D200" s="9"/>
      <c r="E200" s="9"/>
      <c r="F200" s="9"/>
      <c r="G200" s="9"/>
      <c r="H200" s="9"/>
      <c r="I200" s="9"/>
      <c r="J200" s="9"/>
      <c r="K200" s="9"/>
      <c r="L200" s="9"/>
      <c r="M200" s="9"/>
      <c r="N200" s="9"/>
      <c r="O200" s="9"/>
      <c r="P200" s="2"/>
      <c r="Q200" s="2"/>
      <c r="R200" s="2"/>
      <c r="S200" s="2"/>
      <c r="T200" s="2"/>
      <c r="U200" s="2"/>
      <c r="V200" s="2"/>
      <c r="W200" s="2"/>
      <c r="X200" s="2"/>
      <c r="Y200" s="2"/>
      <c r="Z200" s="2"/>
      <c r="AA200" s="2"/>
      <c r="AB200" s="2"/>
    </row>
    <row r="201" spans="1:28" ht="15.75" customHeight="1">
      <c r="A201" s="2"/>
      <c r="B201" s="120"/>
      <c r="C201" s="2"/>
      <c r="D201" s="9"/>
      <c r="E201" s="9"/>
      <c r="F201" s="9"/>
      <c r="G201" s="9"/>
      <c r="H201" s="9"/>
      <c r="I201" s="9"/>
      <c r="J201" s="9"/>
      <c r="K201" s="9"/>
      <c r="L201" s="9"/>
      <c r="M201" s="9"/>
      <c r="N201" s="9"/>
      <c r="O201" s="9"/>
      <c r="P201" s="2"/>
      <c r="Q201" s="2"/>
      <c r="R201" s="2"/>
      <c r="S201" s="2"/>
      <c r="T201" s="2"/>
      <c r="U201" s="2"/>
      <c r="V201" s="2"/>
      <c r="W201" s="2"/>
      <c r="X201" s="2"/>
      <c r="Y201" s="2"/>
      <c r="Z201" s="2"/>
      <c r="AA201" s="2"/>
      <c r="AB201" s="2"/>
    </row>
    <row r="202" spans="1:28" ht="15.75" customHeight="1">
      <c r="A202" s="2"/>
      <c r="B202" s="120"/>
      <c r="C202" s="2"/>
      <c r="D202" s="9"/>
      <c r="E202" s="9"/>
      <c r="F202" s="9"/>
      <c r="G202" s="9"/>
      <c r="H202" s="9"/>
      <c r="I202" s="9"/>
      <c r="J202" s="9"/>
      <c r="K202" s="9"/>
      <c r="L202" s="9"/>
      <c r="M202" s="9"/>
      <c r="N202" s="9"/>
      <c r="O202" s="9"/>
      <c r="P202" s="2"/>
      <c r="Q202" s="2"/>
      <c r="R202" s="2"/>
      <c r="S202" s="2"/>
      <c r="T202" s="2"/>
      <c r="U202" s="2"/>
      <c r="V202" s="2"/>
      <c r="W202" s="2"/>
      <c r="X202" s="2"/>
      <c r="Y202" s="2"/>
      <c r="Z202" s="2"/>
      <c r="AA202" s="2"/>
      <c r="AB202" s="2"/>
    </row>
    <row r="203" spans="1:28" ht="15.75" customHeight="1">
      <c r="A203" s="2"/>
      <c r="B203" s="120"/>
      <c r="C203" s="2"/>
      <c r="D203" s="9"/>
      <c r="E203" s="9"/>
      <c r="F203" s="9"/>
      <c r="G203" s="9"/>
      <c r="H203" s="9"/>
      <c r="I203" s="9"/>
      <c r="J203" s="9"/>
      <c r="K203" s="9"/>
      <c r="L203" s="9"/>
      <c r="M203" s="9"/>
      <c r="N203" s="9"/>
      <c r="O203" s="9"/>
      <c r="P203" s="2"/>
      <c r="Q203" s="2"/>
      <c r="R203" s="2"/>
      <c r="S203" s="2"/>
      <c r="T203" s="2"/>
      <c r="U203" s="2"/>
      <c r="V203" s="2"/>
      <c r="W203" s="2"/>
      <c r="X203" s="2"/>
      <c r="Y203" s="2"/>
      <c r="Z203" s="2"/>
      <c r="AA203" s="2"/>
      <c r="AB203" s="2"/>
    </row>
    <row r="204" spans="1:28" ht="15.75" customHeight="1">
      <c r="A204" s="2"/>
      <c r="B204" s="120"/>
      <c r="C204" s="2"/>
      <c r="D204" s="9"/>
      <c r="E204" s="9"/>
      <c r="F204" s="9"/>
      <c r="G204" s="9"/>
      <c r="H204" s="9"/>
      <c r="I204" s="9"/>
      <c r="J204" s="9"/>
      <c r="K204" s="9"/>
      <c r="L204" s="9"/>
      <c r="M204" s="9"/>
      <c r="N204" s="9"/>
      <c r="O204" s="9"/>
      <c r="P204" s="2"/>
      <c r="Q204" s="2"/>
      <c r="R204" s="2"/>
      <c r="S204" s="2"/>
      <c r="T204" s="2"/>
      <c r="U204" s="2"/>
      <c r="V204" s="2"/>
      <c r="W204" s="2"/>
      <c r="X204" s="2"/>
      <c r="Y204" s="2"/>
      <c r="Z204" s="2"/>
      <c r="AA204" s="2"/>
      <c r="AB204" s="2"/>
    </row>
    <row r="205" spans="1:28" ht="15.75" customHeight="1">
      <c r="A205" s="2"/>
      <c r="B205" s="120"/>
      <c r="C205" s="2"/>
      <c r="D205" s="9"/>
      <c r="E205" s="9"/>
      <c r="F205" s="9"/>
      <c r="G205" s="9"/>
      <c r="H205" s="9"/>
      <c r="I205" s="9"/>
      <c r="J205" s="9"/>
      <c r="K205" s="9"/>
      <c r="L205" s="9"/>
      <c r="M205" s="9"/>
      <c r="N205" s="9"/>
      <c r="O205" s="9"/>
      <c r="P205" s="2"/>
      <c r="Q205" s="2"/>
      <c r="R205" s="2"/>
      <c r="S205" s="2"/>
      <c r="T205" s="2"/>
      <c r="U205" s="2"/>
      <c r="V205" s="2"/>
      <c r="W205" s="2"/>
      <c r="X205" s="2"/>
      <c r="Y205" s="2"/>
      <c r="Z205" s="2"/>
      <c r="AA205" s="2"/>
      <c r="AB205" s="2"/>
    </row>
    <row r="206" spans="1:28" ht="15.75" customHeight="1">
      <c r="A206" s="2"/>
      <c r="B206" s="120"/>
      <c r="C206" s="2"/>
      <c r="D206" s="9"/>
      <c r="E206" s="9"/>
      <c r="F206" s="9"/>
      <c r="G206" s="9"/>
      <c r="H206" s="9"/>
      <c r="I206" s="9"/>
      <c r="J206" s="9"/>
      <c r="K206" s="9"/>
      <c r="L206" s="9"/>
      <c r="M206" s="9"/>
      <c r="N206" s="9"/>
      <c r="O206" s="9"/>
      <c r="P206" s="2"/>
      <c r="Q206" s="2"/>
      <c r="R206" s="2"/>
      <c r="S206" s="2"/>
      <c r="T206" s="2"/>
      <c r="U206" s="2"/>
      <c r="V206" s="2"/>
      <c r="W206" s="2"/>
      <c r="X206" s="2"/>
      <c r="Y206" s="2"/>
      <c r="Z206" s="2"/>
      <c r="AA206" s="2"/>
      <c r="AB206" s="2"/>
    </row>
    <row r="207" spans="1:28" ht="15.75" customHeight="1">
      <c r="A207" s="2"/>
      <c r="B207" s="120"/>
      <c r="C207" s="2"/>
      <c r="D207" s="9"/>
      <c r="E207" s="9"/>
      <c r="F207" s="9"/>
      <c r="G207" s="9"/>
      <c r="H207" s="9"/>
      <c r="I207" s="9"/>
      <c r="J207" s="9"/>
      <c r="K207" s="9"/>
      <c r="L207" s="9"/>
      <c r="M207" s="9"/>
      <c r="N207" s="9"/>
      <c r="O207" s="9"/>
      <c r="P207" s="2"/>
      <c r="Q207" s="2"/>
      <c r="R207" s="2"/>
      <c r="S207" s="2"/>
      <c r="T207" s="2"/>
      <c r="U207" s="2"/>
      <c r="V207" s="2"/>
      <c r="W207" s="2"/>
      <c r="X207" s="2"/>
      <c r="Y207" s="2"/>
      <c r="Z207" s="2"/>
      <c r="AA207" s="2"/>
      <c r="AB207" s="2"/>
    </row>
    <row r="208" spans="1:28" ht="15.75" customHeight="1">
      <c r="A208" s="2"/>
      <c r="B208" s="120"/>
      <c r="C208" s="2"/>
      <c r="D208" s="9"/>
      <c r="E208" s="9"/>
      <c r="F208" s="9"/>
      <c r="G208" s="9"/>
      <c r="H208" s="9"/>
      <c r="I208" s="9"/>
      <c r="J208" s="9"/>
      <c r="K208" s="9"/>
      <c r="L208" s="9"/>
      <c r="M208" s="9"/>
      <c r="N208" s="9"/>
      <c r="O208" s="9"/>
      <c r="P208" s="2"/>
      <c r="Q208" s="2"/>
      <c r="R208" s="2"/>
      <c r="S208" s="2"/>
      <c r="T208" s="2"/>
      <c r="U208" s="2"/>
      <c r="V208" s="2"/>
      <c r="W208" s="2"/>
      <c r="X208" s="2"/>
      <c r="Y208" s="2"/>
      <c r="Z208" s="2"/>
      <c r="AA208" s="2"/>
      <c r="AB208" s="2"/>
    </row>
    <row r="209" spans="1:28" ht="15.75" customHeight="1">
      <c r="A209" s="2"/>
      <c r="B209" s="120"/>
      <c r="C209" s="2"/>
      <c r="D209" s="9"/>
      <c r="E209" s="9"/>
      <c r="F209" s="9"/>
      <c r="G209" s="9"/>
      <c r="H209" s="9"/>
      <c r="I209" s="9"/>
      <c r="J209" s="9"/>
      <c r="K209" s="9"/>
      <c r="L209" s="9"/>
      <c r="M209" s="9"/>
      <c r="N209" s="9"/>
      <c r="O209" s="9"/>
      <c r="P209" s="2"/>
      <c r="Q209" s="2"/>
      <c r="R209" s="2"/>
      <c r="S209" s="2"/>
      <c r="T209" s="2"/>
      <c r="U209" s="2"/>
      <c r="V209" s="2"/>
      <c r="W209" s="2"/>
      <c r="X209" s="2"/>
      <c r="Y209" s="2"/>
      <c r="Z209" s="2"/>
      <c r="AA209" s="2"/>
      <c r="AB209" s="2"/>
    </row>
    <row r="210" spans="1:28" ht="15.75" customHeight="1">
      <c r="A210" s="2"/>
      <c r="B210" s="120"/>
      <c r="C210" s="2"/>
      <c r="D210" s="9"/>
      <c r="E210" s="9"/>
      <c r="F210" s="9"/>
      <c r="G210" s="9"/>
      <c r="H210" s="9"/>
      <c r="I210" s="9"/>
      <c r="J210" s="9"/>
      <c r="K210" s="9"/>
      <c r="L210" s="9"/>
      <c r="M210" s="9"/>
      <c r="N210" s="9"/>
      <c r="O210" s="9"/>
      <c r="P210" s="2"/>
      <c r="Q210" s="2"/>
      <c r="R210" s="2"/>
      <c r="S210" s="2"/>
      <c r="T210" s="2"/>
      <c r="U210" s="2"/>
      <c r="V210" s="2"/>
      <c r="W210" s="2"/>
      <c r="X210" s="2"/>
      <c r="Y210" s="2"/>
      <c r="Z210" s="2"/>
      <c r="AA210" s="2"/>
      <c r="AB210" s="2"/>
    </row>
    <row r="211" spans="1:28" ht="15.75" customHeight="1">
      <c r="A211" s="2"/>
      <c r="B211" s="120"/>
      <c r="C211" s="2"/>
      <c r="D211" s="9"/>
      <c r="E211" s="9"/>
      <c r="F211" s="9"/>
      <c r="G211" s="9"/>
      <c r="H211" s="9"/>
      <c r="I211" s="9"/>
      <c r="J211" s="9"/>
      <c r="K211" s="9"/>
      <c r="L211" s="9"/>
      <c r="M211" s="9"/>
      <c r="N211" s="9"/>
      <c r="O211" s="9"/>
      <c r="P211" s="2"/>
      <c r="Q211" s="2"/>
      <c r="R211" s="2"/>
      <c r="S211" s="2"/>
      <c r="T211" s="2"/>
      <c r="U211" s="2"/>
      <c r="V211" s="2"/>
      <c r="W211" s="2"/>
      <c r="X211" s="2"/>
      <c r="Y211" s="2"/>
      <c r="Z211" s="2"/>
      <c r="AA211" s="2"/>
      <c r="AB211" s="2"/>
    </row>
    <row r="212" spans="1:28" ht="15.75" customHeight="1">
      <c r="A212" s="2"/>
      <c r="B212" s="120"/>
      <c r="C212" s="2"/>
      <c r="D212" s="9"/>
      <c r="E212" s="9"/>
      <c r="F212" s="9"/>
      <c r="G212" s="9"/>
      <c r="H212" s="9"/>
      <c r="I212" s="9"/>
      <c r="J212" s="9"/>
      <c r="K212" s="9"/>
      <c r="L212" s="9"/>
      <c r="M212" s="9"/>
      <c r="N212" s="9"/>
      <c r="O212" s="9"/>
      <c r="P212" s="2"/>
      <c r="Q212" s="2"/>
      <c r="R212" s="2"/>
      <c r="S212" s="2"/>
      <c r="T212" s="2"/>
      <c r="U212" s="2"/>
      <c r="V212" s="2"/>
      <c r="W212" s="2"/>
      <c r="X212" s="2"/>
      <c r="Y212" s="2"/>
      <c r="Z212" s="2"/>
      <c r="AA212" s="2"/>
      <c r="AB212" s="2"/>
    </row>
    <row r="213" spans="1:28" ht="15.75" customHeight="1">
      <c r="A213" s="2"/>
      <c r="B213" s="120"/>
      <c r="C213" s="2"/>
      <c r="D213" s="9"/>
      <c r="E213" s="9"/>
      <c r="F213" s="9"/>
      <c r="G213" s="9"/>
      <c r="H213" s="9"/>
      <c r="I213" s="9"/>
      <c r="J213" s="9"/>
      <c r="K213" s="9"/>
      <c r="L213" s="9"/>
      <c r="M213" s="9"/>
      <c r="N213" s="9"/>
      <c r="O213" s="9"/>
      <c r="P213" s="2"/>
      <c r="Q213" s="2"/>
      <c r="R213" s="2"/>
      <c r="S213" s="2"/>
      <c r="T213" s="2"/>
      <c r="U213" s="2"/>
      <c r="V213" s="2"/>
      <c r="W213" s="2"/>
      <c r="X213" s="2"/>
      <c r="Y213" s="2"/>
      <c r="Z213" s="2"/>
      <c r="AA213" s="2"/>
      <c r="AB213" s="2"/>
    </row>
    <row r="214" spans="1:28" ht="15.75" customHeight="1">
      <c r="A214" s="2"/>
      <c r="B214" s="120"/>
      <c r="C214" s="2"/>
      <c r="D214" s="9"/>
      <c r="E214" s="9"/>
      <c r="F214" s="9"/>
      <c r="G214" s="9"/>
      <c r="H214" s="9"/>
      <c r="I214" s="9"/>
      <c r="J214" s="9"/>
      <c r="K214" s="9"/>
      <c r="L214" s="9"/>
      <c r="M214" s="9"/>
      <c r="N214" s="9"/>
      <c r="O214" s="9"/>
      <c r="P214" s="2"/>
      <c r="Q214" s="2"/>
      <c r="R214" s="2"/>
      <c r="S214" s="2"/>
      <c r="T214" s="2"/>
      <c r="U214" s="2"/>
      <c r="V214" s="2"/>
      <c r="W214" s="2"/>
      <c r="X214" s="2"/>
      <c r="Y214" s="2"/>
      <c r="Z214" s="2"/>
      <c r="AA214" s="2"/>
      <c r="AB214" s="2"/>
    </row>
    <row r="215" spans="1:28" ht="15.75" customHeight="1">
      <c r="A215" s="2"/>
      <c r="B215" s="120"/>
      <c r="C215" s="2"/>
      <c r="D215" s="9"/>
      <c r="E215" s="9"/>
      <c r="F215" s="9"/>
      <c r="G215" s="9"/>
      <c r="H215" s="9"/>
      <c r="I215" s="9"/>
      <c r="J215" s="9"/>
      <c r="K215" s="9"/>
      <c r="L215" s="9"/>
      <c r="M215" s="9"/>
      <c r="N215" s="9"/>
      <c r="O215" s="9"/>
      <c r="P215" s="2"/>
      <c r="Q215" s="2"/>
      <c r="R215" s="2"/>
      <c r="S215" s="2"/>
      <c r="T215" s="2"/>
      <c r="U215" s="2"/>
      <c r="V215" s="2"/>
      <c r="W215" s="2"/>
      <c r="X215" s="2"/>
      <c r="Y215" s="2"/>
      <c r="Z215" s="2"/>
      <c r="AA215" s="2"/>
      <c r="AB215" s="2"/>
    </row>
    <row r="216" spans="1:28" ht="15.75" customHeight="1">
      <c r="A216" s="2"/>
      <c r="B216" s="120"/>
      <c r="C216" s="2"/>
      <c r="D216" s="9"/>
      <c r="E216" s="9"/>
      <c r="F216" s="9"/>
      <c r="G216" s="9"/>
      <c r="H216" s="9"/>
      <c r="I216" s="9"/>
      <c r="J216" s="9"/>
      <c r="K216" s="9"/>
      <c r="L216" s="9"/>
      <c r="M216" s="9"/>
      <c r="N216" s="9"/>
      <c r="O216" s="9"/>
      <c r="P216" s="2"/>
      <c r="Q216" s="2"/>
      <c r="R216" s="2"/>
      <c r="S216" s="2"/>
      <c r="T216" s="2"/>
      <c r="U216" s="2"/>
      <c r="V216" s="2"/>
      <c r="W216" s="2"/>
      <c r="X216" s="2"/>
      <c r="Y216" s="2"/>
      <c r="Z216" s="2"/>
      <c r="AA216" s="2"/>
      <c r="AB216" s="2"/>
    </row>
    <row r="217" spans="1:28" ht="15.75" customHeight="1">
      <c r="A217" s="2"/>
      <c r="B217" s="120"/>
      <c r="C217" s="2"/>
      <c r="D217" s="9"/>
      <c r="E217" s="9"/>
      <c r="F217" s="9"/>
      <c r="G217" s="9"/>
      <c r="H217" s="9"/>
      <c r="I217" s="9"/>
      <c r="J217" s="9"/>
      <c r="K217" s="9"/>
      <c r="L217" s="9"/>
      <c r="M217" s="9"/>
      <c r="N217" s="9"/>
      <c r="O217" s="9"/>
      <c r="P217" s="2"/>
      <c r="Q217" s="2"/>
      <c r="R217" s="2"/>
      <c r="S217" s="2"/>
      <c r="T217" s="2"/>
      <c r="U217" s="2"/>
      <c r="V217" s="2"/>
      <c r="W217" s="2"/>
      <c r="X217" s="2"/>
      <c r="Y217" s="2"/>
      <c r="Z217" s="2"/>
      <c r="AA217" s="2"/>
      <c r="AB217" s="2"/>
    </row>
    <row r="218" spans="1:28" ht="15.75" customHeight="1">
      <c r="A218" s="2"/>
      <c r="B218" s="120"/>
      <c r="C218" s="2"/>
      <c r="D218" s="9"/>
      <c r="E218" s="9"/>
      <c r="F218" s="9"/>
      <c r="G218" s="9"/>
      <c r="H218" s="9"/>
      <c r="I218" s="9"/>
      <c r="J218" s="9"/>
      <c r="K218" s="9"/>
      <c r="L218" s="9"/>
      <c r="M218" s="9"/>
      <c r="N218" s="9"/>
      <c r="O218" s="9"/>
      <c r="P218" s="2"/>
      <c r="Q218" s="2"/>
      <c r="R218" s="2"/>
      <c r="S218" s="2"/>
      <c r="T218" s="2"/>
      <c r="U218" s="2"/>
      <c r="V218" s="2"/>
      <c r="W218" s="2"/>
      <c r="X218" s="2"/>
      <c r="Y218" s="2"/>
      <c r="Z218" s="2"/>
      <c r="AA218" s="2"/>
      <c r="AB218" s="2"/>
    </row>
    <row r="219" spans="1:28" ht="15.75" customHeight="1">
      <c r="A219" s="2"/>
      <c r="B219" s="120"/>
      <c r="C219" s="2"/>
      <c r="D219" s="9"/>
      <c r="E219" s="9"/>
      <c r="F219" s="9"/>
      <c r="G219" s="9"/>
      <c r="H219" s="9"/>
      <c r="I219" s="9"/>
      <c r="J219" s="9"/>
      <c r="K219" s="9"/>
      <c r="L219" s="9"/>
      <c r="M219" s="9"/>
      <c r="N219" s="9"/>
      <c r="O219" s="9"/>
      <c r="P219" s="2"/>
      <c r="Q219" s="2"/>
      <c r="R219" s="2"/>
      <c r="S219" s="2"/>
      <c r="T219" s="2"/>
      <c r="U219" s="2"/>
      <c r="V219" s="2"/>
      <c r="W219" s="2"/>
      <c r="X219" s="2"/>
      <c r="Y219" s="2"/>
      <c r="Z219" s="2"/>
      <c r="AA219" s="2"/>
      <c r="AB219" s="2"/>
    </row>
    <row r="220" spans="1:28" ht="15.75" customHeight="1">
      <c r="A220" s="2"/>
      <c r="B220" s="120"/>
      <c r="C220" s="2"/>
      <c r="D220" s="9"/>
      <c r="E220" s="9"/>
      <c r="F220" s="9"/>
      <c r="G220" s="9"/>
      <c r="H220" s="9"/>
      <c r="I220" s="9"/>
      <c r="J220" s="9"/>
      <c r="K220" s="9"/>
      <c r="L220" s="9"/>
      <c r="M220" s="9"/>
      <c r="N220" s="9"/>
      <c r="O220" s="9"/>
      <c r="P220" s="2"/>
      <c r="Q220" s="2"/>
      <c r="R220" s="2"/>
      <c r="S220" s="2"/>
      <c r="T220" s="2"/>
      <c r="U220" s="2"/>
      <c r="V220" s="2"/>
      <c r="W220" s="2"/>
      <c r="X220" s="2"/>
      <c r="Y220" s="2"/>
      <c r="Z220" s="2"/>
      <c r="AA220" s="2"/>
      <c r="AB220" s="2"/>
    </row>
    <row r="221" spans="1:28" ht="15.75" customHeight="1">
      <c r="A221" s="2"/>
      <c r="B221" s="120"/>
      <c r="C221" s="2"/>
      <c r="D221" s="9"/>
      <c r="E221" s="9"/>
      <c r="F221" s="9"/>
      <c r="G221" s="9"/>
      <c r="H221" s="9"/>
      <c r="I221" s="9"/>
      <c r="J221" s="9"/>
      <c r="K221" s="9"/>
      <c r="L221" s="9"/>
      <c r="M221" s="9"/>
      <c r="N221" s="9"/>
      <c r="O221" s="9"/>
      <c r="P221" s="2"/>
      <c r="Q221" s="2"/>
      <c r="R221" s="2"/>
      <c r="S221" s="2"/>
      <c r="T221" s="2"/>
      <c r="U221" s="2"/>
      <c r="V221" s="2"/>
      <c r="W221" s="2"/>
      <c r="X221" s="2"/>
      <c r="Y221" s="2"/>
      <c r="Z221" s="2"/>
      <c r="AA221" s="2"/>
      <c r="AB221" s="2"/>
    </row>
    <row r="222" spans="1:28" ht="15.75" customHeight="1">
      <c r="A222" s="2"/>
      <c r="B222" s="120"/>
      <c r="C222" s="2"/>
      <c r="D222" s="9"/>
      <c r="E222" s="9"/>
      <c r="F222" s="9"/>
      <c r="G222" s="9"/>
      <c r="H222" s="9"/>
      <c r="I222" s="9"/>
      <c r="J222" s="9"/>
      <c r="K222" s="9"/>
      <c r="L222" s="9"/>
      <c r="M222" s="9"/>
      <c r="N222" s="9"/>
      <c r="O222" s="9"/>
      <c r="P222" s="2"/>
      <c r="Q222" s="2"/>
      <c r="R222" s="2"/>
      <c r="S222" s="2"/>
      <c r="T222" s="2"/>
      <c r="U222" s="2"/>
      <c r="V222" s="2"/>
      <c r="W222" s="2"/>
      <c r="X222" s="2"/>
      <c r="Y222" s="2"/>
      <c r="Z222" s="2"/>
      <c r="AA222" s="2"/>
      <c r="AB222" s="2"/>
    </row>
    <row r="223" spans="1:28" ht="15.75" customHeight="1">
      <c r="A223" s="2"/>
      <c r="B223" s="120"/>
      <c r="C223" s="2"/>
      <c r="D223" s="9"/>
      <c r="E223" s="9"/>
      <c r="F223" s="9"/>
      <c r="G223" s="9"/>
      <c r="H223" s="9"/>
      <c r="I223" s="9"/>
      <c r="J223" s="9"/>
      <c r="K223" s="9"/>
      <c r="L223" s="9"/>
      <c r="M223" s="9"/>
      <c r="N223" s="9"/>
      <c r="O223" s="9"/>
      <c r="P223" s="2"/>
      <c r="Q223" s="2"/>
      <c r="R223" s="2"/>
      <c r="S223" s="2"/>
      <c r="T223" s="2"/>
      <c r="U223" s="2"/>
      <c r="V223" s="2"/>
      <c r="W223" s="2"/>
      <c r="X223" s="2"/>
      <c r="Y223" s="2"/>
      <c r="Z223" s="2"/>
      <c r="AA223" s="2"/>
      <c r="AB223" s="2"/>
    </row>
    <row r="224" spans="1:28" ht="15.75" customHeight="1">
      <c r="A224" s="2"/>
      <c r="B224" s="120"/>
      <c r="C224" s="2"/>
      <c r="D224" s="9"/>
      <c r="E224" s="9"/>
      <c r="F224" s="9"/>
      <c r="G224" s="9"/>
      <c r="H224" s="9"/>
      <c r="I224" s="9"/>
      <c r="J224" s="9"/>
      <c r="K224" s="9"/>
      <c r="L224" s="9"/>
      <c r="M224" s="9"/>
      <c r="N224" s="9"/>
      <c r="O224" s="9"/>
      <c r="P224" s="2"/>
      <c r="Q224" s="2"/>
      <c r="R224" s="2"/>
      <c r="S224" s="2"/>
      <c r="T224" s="2"/>
      <c r="U224" s="2"/>
      <c r="V224" s="2"/>
      <c r="W224" s="2"/>
      <c r="X224" s="2"/>
      <c r="Y224" s="2"/>
      <c r="Z224" s="2"/>
      <c r="AA224" s="2"/>
      <c r="AB224" s="2"/>
    </row>
    <row r="225" spans="1:28" ht="15.75" customHeight="1">
      <c r="A225" s="2"/>
      <c r="B225" s="120"/>
      <c r="C225" s="2"/>
      <c r="D225" s="9"/>
      <c r="E225" s="9"/>
      <c r="F225" s="9"/>
      <c r="G225" s="9"/>
      <c r="H225" s="9"/>
      <c r="I225" s="9"/>
      <c r="J225" s="9"/>
      <c r="K225" s="9"/>
      <c r="L225" s="9"/>
      <c r="M225" s="9"/>
      <c r="N225" s="9"/>
      <c r="O225" s="9"/>
      <c r="P225" s="2"/>
      <c r="Q225" s="2"/>
      <c r="R225" s="2"/>
      <c r="S225" s="2"/>
      <c r="T225" s="2"/>
      <c r="U225" s="2"/>
      <c r="V225" s="2"/>
      <c r="W225" s="2"/>
      <c r="X225" s="2"/>
      <c r="Y225" s="2"/>
      <c r="Z225" s="2"/>
      <c r="AA225" s="2"/>
      <c r="AB225" s="2"/>
    </row>
    <row r="226" spans="1:28" ht="15.75" customHeight="1">
      <c r="A226" s="2"/>
      <c r="B226" s="120"/>
      <c r="C226" s="2"/>
      <c r="D226" s="9"/>
      <c r="E226" s="9"/>
      <c r="F226" s="9"/>
      <c r="G226" s="9"/>
      <c r="H226" s="9"/>
      <c r="I226" s="9"/>
      <c r="J226" s="9"/>
      <c r="K226" s="9"/>
      <c r="L226" s="9"/>
      <c r="M226" s="9"/>
      <c r="N226" s="9"/>
      <c r="O226" s="9"/>
      <c r="P226" s="2"/>
      <c r="Q226" s="2"/>
      <c r="R226" s="2"/>
      <c r="S226" s="2"/>
      <c r="T226" s="2"/>
      <c r="U226" s="2"/>
      <c r="V226" s="2"/>
      <c r="W226" s="2"/>
      <c r="X226" s="2"/>
      <c r="Y226" s="2"/>
      <c r="Z226" s="2"/>
      <c r="AA226" s="2"/>
      <c r="AB226" s="2"/>
    </row>
    <row r="227" spans="1:28" ht="15.75" customHeight="1">
      <c r="A227" s="2"/>
      <c r="B227" s="120"/>
      <c r="C227" s="2"/>
      <c r="D227" s="9"/>
      <c r="E227" s="9"/>
      <c r="F227" s="9"/>
      <c r="G227" s="9"/>
      <c r="H227" s="9"/>
      <c r="I227" s="9"/>
      <c r="J227" s="9"/>
      <c r="K227" s="9"/>
      <c r="L227" s="9"/>
      <c r="M227" s="9"/>
      <c r="N227" s="9"/>
      <c r="O227" s="9"/>
      <c r="P227" s="2"/>
      <c r="Q227" s="2"/>
      <c r="R227" s="2"/>
      <c r="S227" s="2"/>
      <c r="T227" s="2"/>
      <c r="U227" s="2"/>
      <c r="V227" s="2"/>
      <c r="W227" s="2"/>
      <c r="X227" s="2"/>
      <c r="Y227" s="2"/>
      <c r="Z227" s="2"/>
      <c r="AA227" s="2"/>
      <c r="AB227" s="2"/>
    </row>
    <row r="228" spans="1:28" ht="15.75" customHeight="1">
      <c r="A228" s="2"/>
      <c r="B228" s="120"/>
      <c r="C228" s="2"/>
      <c r="D228" s="9"/>
      <c r="E228" s="9"/>
      <c r="F228" s="9"/>
      <c r="G228" s="9"/>
      <c r="H228" s="9"/>
      <c r="I228" s="9"/>
      <c r="J228" s="9"/>
      <c r="K228" s="9"/>
      <c r="L228" s="9"/>
      <c r="M228" s="9"/>
      <c r="N228" s="9"/>
      <c r="O228" s="9"/>
      <c r="P228" s="2"/>
      <c r="Q228" s="2"/>
      <c r="R228" s="2"/>
      <c r="S228" s="2"/>
      <c r="T228" s="2"/>
      <c r="U228" s="2"/>
      <c r="V228" s="2"/>
      <c r="W228" s="2"/>
      <c r="X228" s="2"/>
      <c r="Y228" s="2"/>
      <c r="Z228" s="2"/>
      <c r="AA228" s="2"/>
      <c r="AB228" s="2"/>
    </row>
    <row r="229" spans="1:28" ht="15.75" customHeight="1">
      <c r="A229" s="2"/>
      <c r="B229" s="120"/>
      <c r="C229" s="2"/>
      <c r="D229" s="9"/>
      <c r="E229" s="9"/>
      <c r="F229" s="9"/>
      <c r="G229" s="9"/>
      <c r="H229" s="9"/>
      <c r="I229" s="9"/>
      <c r="J229" s="9"/>
      <c r="K229" s="9"/>
      <c r="L229" s="9"/>
      <c r="M229" s="9"/>
      <c r="N229" s="9"/>
      <c r="O229" s="9"/>
      <c r="P229" s="2"/>
      <c r="Q229" s="2"/>
      <c r="R229" s="2"/>
      <c r="S229" s="2"/>
      <c r="T229" s="2"/>
      <c r="U229" s="2"/>
      <c r="V229" s="2"/>
      <c r="W229" s="2"/>
      <c r="X229" s="2"/>
      <c r="Y229" s="2"/>
      <c r="Z229" s="2"/>
      <c r="AA229" s="2"/>
      <c r="AB229" s="2"/>
    </row>
    <row r="230" spans="1:28" ht="15.75" customHeight="1">
      <c r="A230" s="2"/>
      <c r="B230" s="120"/>
      <c r="C230" s="2"/>
      <c r="D230" s="9"/>
      <c r="E230" s="9"/>
      <c r="F230" s="9"/>
      <c r="G230" s="9"/>
      <c r="H230" s="9"/>
      <c r="I230" s="9"/>
      <c r="J230" s="9"/>
      <c r="K230" s="9"/>
      <c r="L230" s="9"/>
      <c r="M230" s="9"/>
      <c r="N230" s="9"/>
      <c r="O230" s="9"/>
      <c r="P230" s="2"/>
      <c r="Q230" s="2"/>
      <c r="R230" s="2"/>
      <c r="S230" s="2"/>
      <c r="T230" s="2"/>
      <c r="U230" s="2"/>
      <c r="V230" s="2"/>
      <c r="W230" s="2"/>
      <c r="X230" s="2"/>
      <c r="Y230" s="2"/>
      <c r="Z230" s="2"/>
      <c r="AA230" s="2"/>
      <c r="AB230" s="2"/>
    </row>
    <row r="231" spans="1:28" ht="15.75" customHeight="1">
      <c r="A231" s="2"/>
      <c r="B231" s="120"/>
      <c r="C231" s="2"/>
      <c r="D231" s="9"/>
      <c r="E231" s="9"/>
      <c r="F231" s="9"/>
      <c r="G231" s="9"/>
      <c r="H231" s="9"/>
      <c r="I231" s="9"/>
      <c r="J231" s="9"/>
      <c r="K231" s="9"/>
      <c r="L231" s="9"/>
      <c r="M231" s="9"/>
      <c r="N231" s="9"/>
      <c r="O231" s="9"/>
      <c r="P231" s="2"/>
      <c r="Q231" s="2"/>
      <c r="R231" s="2"/>
      <c r="S231" s="2"/>
      <c r="T231" s="2"/>
      <c r="U231" s="2"/>
      <c r="V231" s="2"/>
      <c r="W231" s="2"/>
      <c r="X231" s="2"/>
      <c r="Y231" s="2"/>
      <c r="Z231" s="2"/>
      <c r="AA231" s="2"/>
      <c r="AB231" s="2"/>
    </row>
    <row r="232" spans="1:28" ht="15.75" customHeight="1">
      <c r="A232" s="2"/>
      <c r="B232" s="120"/>
      <c r="C232" s="2"/>
      <c r="D232" s="9"/>
      <c r="E232" s="9"/>
      <c r="F232" s="9"/>
      <c r="G232" s="9"/>
      <c r="H232" s="9"/>
      <c r="I232" s="9"/>
      <c r="J232" s="9"/>
      <c r="K232" s="9"/>
      <c r="L232" s="9"/>
      <c r="M232" s="9"/>
      <c r="N232" s="9"/>
      <c r="O232" s="9"/>
      <c r="P232" s="2"/>
      <c r="Q232" s="2"/>
      <c r="R232" s="2"/>
      <c r="S232" s="2"/>
      <c r="T232" s="2"/>
      <c r="U232" s="2"/>
      <c r="V232" s="2"/>
      <c r="W232" s="2"/>
      <c r="X232" s="2"/>
      <c r="Y232" s="2"/>
      <c r="Z232" s="2"/>
      <c r="AA232" s="2"/>
      <c r="AB232" s="2"/>
    </row>
    <row r="233" spans="1:28" ht="15.75" customHeight="1">
      <c r="A233" s="2"/>
      <c r="B233" s="120"/>
      <c r="C233" s="2"/>
      <c r="D233" s="9"/>
      <c r="E233" s="9"/>
      <c r="F233" s="9"/>
      <c r="G233" s="9"/>
      <c r="H233" s="9"/>
      <c r="I233" s="9"/>
      <c r="J233" s="9"/>
      <c r="K233" s="9"/>
      <c r="L233" s="9"/>
      <c r="M233" s="9"/>
      <c r="N233" s="9"/>
      <c r="O233" s="9"/>
      <c r="P233" s="2"/>
      <c r="Q233" s="2"/>
      <c r="R233" s="2"/>
      <c r="S233" s="2"/>
      <c r="T233" s="2"/>
      <c r="U233" s="2"/>
      <c r="V233" s="2"/>
      <c r="W233" s="2"/>
      <c r="X233" s="2"/>
      <c r="Y233" s="2"/>
      <c r="Z233" s="2"/>
      <c r="AA233" s="2"/>
      <c r="AB233" s="2"/>
    </row>
    <row r="234" spans="1:28" ht="15.75" customHeight="1">
      <c r="A234" s="2"/>
      <c r="B234" s="120"/>
      <c r="C234" s="2"/>
      <c r="D234" s="9"/>
      <c r="E234" s="9"/>
      <c r="F234" s="9"/>
      <c r="G234" s="9"/>
      <c r="H234" s="9"/>
      <c r="I234" s="9"/>
      <c r="J234" s="9"/>
      <c r="K234" s="9"/>
      <c r="L234" s="9"/>
      <c r="M234" s="9"/>
      <c r="N234" s="9"/>
      <c r="O234" s="9"/>
      <c r="P234" s="2"/>
      <c r="Q234" s="2"/>
      <c r="R234" s="2"/>
      <c r="S234" s="2"/>
      <c r="T234" s="2"/>
      <c r="U234" s="2"/>
      <c r="V234" s="2"/>
      <c r="W234" s="2"/>
      <c r="X234" s="2"/>
      <c r="Y234" s="2"/>
      <c r="Z234" s="2"/>
      <c r="AA234" s="2"/>
      <c r="AB234" s="2"/>
    </row>
    <row r="235" spans="1:28" ht="15.75" customHeight="1">
      <c r="A235" s="2"/>
      <c r="B235" s="120"/>
      <c r="C235" s="2"/>
      <c r="D235" s="9"/>
      <c r="E235" s="9"/>
      <c r="F235" s="9"/>
      <c r="G235" s="9"/>
      <c r="H235" s="9"/>
      <c r="I235" s="9"/>
      <c r="J235" s="9"/>
      <c r="K235" s="9"/>
      <c r="L235" s="9"/>
      <c r="M235" s="9"/>
      <c r="N235" s="9"/>
      <c r="O235" s="9"/>
      <c r="P235" s="2"/>
      <c r="Q235" s="2"/>
      <c r="R235" s="2"/>
      <c r="S235" s="2"/>
      <c r="T235" s="2"/>
      <c r="U235" s="2"/>
      <c r="V235" s="2"/>
      <c r="W235" s="2"/>
      <c r="X235" s="2"/>
      <c r="Y235" s="2"/>
      <c r="Z235" s="2"/>
      <c r="AA235" s="2"/>
      <c r="AB235" s="2"/>
    </row>
    <row r="236" spans="1:28" ht="15.75" customHeight="1">
      <c r="A236" s="2"/>
      <c r="B236" s="120"/>
      <c r="C236" s="2"/>
      <c r="D236" s="9"/>
      <c r="E236" s="9"/>
      <c r="F236" s="9"/>
      <c r="G236" s="9"/>
      <c r="H236" s="9"/>
      <c r="I236" s="9"/>
      <c r="J236" s="9"/>
      <c r="K236" s="9"/>
      <c r="L236" s="9"/>
      <c r="M236" s="9"/>
      <c r="N236" s="9"/>
      <c r="O236" s="9"/>
      <c r="P236" s="2"/>
      <c r="Q236" s="2"/>
      <c r="R236" s="2"/>
      <c r="S236" s="2"/>
      <c r="T236" s="2"/>
      <c r="U236" s="2"/>
      <c r="V236" s="2"/>
      <c r="W236" s="2"/>
      <c r="X236" s="2"/>
      <c r="Y236" s="2"/>
      <c r="Z236" s="2"/>
      <c r="AA236" s="2"/>
      <c r="AB236" s="2"/>
    </row>
    <row r="237" spans="1:28" ht="15.75" customHeight="1">
      <c r="A237" s="2"/>
      <c r="B237" s="120"/>
      <c r="C237" s="2"/>
      <c r="D237" s="9"/>
      <c r="E237" s="9"/>
      <c r="F237" s="9"/>
      <c r="G237" s="9"/>
      <c r="H237" s="9"/>
      <c r="I237" s="9"/>
      <c r="J237" s="9"/>
      <c r="K237" s="9"/>
      <c r="L237" s="9"/>
      <c r="M237" s="9"/>
      <c r="N237" s="9"/>
      <c r="O237" s="9"/>
      <c r="P237" s="2"/>
      <c r="Q237" s="2"/>
      <c r="R237" s="2"/>
      <c r="S237" s="2"/>
      <c r="T237" s="2"/>
      <c r="U237" s="2"/>
      <c r="V237" s="2"/>
      <c r="W237" s="2"/>
      <c r="X237" s="2"/>
      <c r="Y237" s="2"/>
      <c r="Z237" s="2"/>
      <c r="AA237" s="2"/>
      <c r="AB237" s="2"/>
    </row>
    <row r="238" spans="1:28" ht="15.75" customHeight="1">
      <c r="A238" s="2"/>
      <c r="B238" s="120"/>
      <c r="C238" s="2"/>
      <c r="D238" s="9"/>
      <c r="E238" s="9"/>
      <c r="F238" s="9"/>
      <c r="G238" s="9"/>
      <c r="H238" s="9"/>
      <c r="I238" s="9"/>
      <c r="J238" s="9"/>
      <c r="K238" s="9"/>
      <c r="L238" s="9"/>
      <c r="M238" s="9"/>
      <c r="N238" s="9"/>
      <c r="O238" s="9"/>
      <c r="P238" s="2"/>
      <c r="Q238" s="2"/>
      <c r="R238" s="2"/>
      <c r="S238" s="2"/>
      <c r="T238" s="2"/>
      <c r="U238" s="2"/>
      <c r="V238" s="2"/>
      <c r="W238" s="2"/>
      <c r="X238" s="2"/>
      <c r="Y238" s="2"/>
      <c r="Z238" s="2"/>
      <c r="AA238" s="2"/>
      <c r="AB238" s="2"/>
    </row>
    <row r="239" spans="1:28" ht="15.75" customHeight="1">
      <c r="A239" s="2"/>
      <c r="B239" s="120"/>
      <c r="C239" s="2"/>
      <c r="D239" s="9"/>
      <c r="E239" s="9"/>
      <c r="F239" s="9"/>
      <c r="G239" s="9"/>
      <c r="H239" s="9"/>
      <c r="I239" s="9"/>
      <c r="J239" s="9"/>
      <c r="K239" s="9"/>
      <c r="L239" s="9"/>
      <c r="M239" s="9"/>
      <c r="N239" s="9"/>
      <c r="O239" s="9"/>
      <c r="P239" s="2"/>
      <c r="Q239" s="2"/>
      <c r="R239" s="2"/>
      <c r="S239" s="2"/>
      <c r="T239" s="2"/>
      <c r="U239" s="2"/>
      <c r="V239" s="2"/>
      <c r="W239" s="2"/>
      <c r="X239" s="2"/>
      <c r="Y239" s="2"/>
      <c r="Z239" s="2"/>
      <c r="AA239" s="2"/>
      <c r="AB239" s="2"/>
    </row>
    <row r="240" spans="1:28" ht="15.75" customHeight="1">
      <c r="A240" s="2"/>
      <c r="B240" s="120"/>
      <c r="C240" s="2"/>
      <c r="D240" s="9"/>
      <c r="E240" s="9"/>
      <c r="F240" s="9"/>
      <c r="G240" s="9"/>
      <c r="H240" s="9"/>
      <c r="I240" s="9"/>
      <c r="J240" s="9"/>
      <c r="K240" s="9"/>
      <c r="L240" s="9"/>
      <c r="M240" s="9"/>
      <c r="N240" s="9"/>
      <c r="O240" s="9"/>
      <c r="P240" s="2"/>
      <c r="Q240" s="2"/>
      <c r="R240" s="2"/>
      <c r="S240" s="2"/>
      <c r="T240" s="2"/>
      <c r="U240" s="2"/>
      <c r="V240" s="2"/>
      <c r="W240" s="2"/>
      <c r="X240" s="2"/>
      <c r="Y240" s="2"/>
      <c r="Z240" s="2"/>
      <c r="AA240" s="2"/>
      <c r="AB240" s="2"/>
    </row>
    <row r="241" spans="1:28" ht="15.75" customHeight="1">
      <c r="A241" s="2"/>
      <c r="B241" s="120"/>
      <c r="C241" s="2"/>
      <c r="D241" s="9"/>
      <c r="E241" s="9"/>
      <c r="F241" s="9"/>
      <c r="G241" s="9"/>
      <c r="H241" s="9"/>
      <c r="I241" s="9"/>
      <c r="J241" s="9"/>
      <c r="K241" s="9"/>
      <c r="L241" s="9"/>
      <c r="M241" s="9"/>
      <c r="N241" s="9"/>
      <c r="O241" s="9"/>
      <c r="P241" s="2"/>
      <c r="Q241" s="2"/>
      <c r="R241" s="2"/>
      <c r="S241" s="2"/>
      <c r="T241" s="2"/>
      <c r="U241" s="2"/>
      <c r="V241" s="2"/>
      <c r="W241" s="2"/>
      <c r="X241" s="2"/>
      <c r="Y241" s="2"/>
      <c r="Z241" s="2"/>
      <c r="AA241" s="2"/>
      <c r="AB241" s="2"/>
    </row>
    <row r="242" spans="1:28" ht="15.75" customHeight="1">
      <c r="A242" s="2"/>
      <c r="B242" s="120"/>
      <c r="C242" s="2"/>
      <c r="D242" s="9"/>
      <c r="E242" s="9"/>
      <c r="F242" s="9"/>
      <c r="G242" s="9"/>
      <c r="H242" s="9"/>
      <c r="I242" s="9"/>
      <c r="J242" s="9"/>
      <c r="K242" s="9"/>
      <c r="L242" s="9"/>
      <c r="M242" s="9"/>
      <c r="N242" s="9"/>
      <c r="O242" s="9"/>
      <c r="P242" s="2"/>
      <c r="Q242" s="2"/>
      <c r="R242" s="2"/>
      <c r="S242" s="2"/>
      <c r="T242" s="2"/>
      <c r="U242" s="2"/>
      <c r="V242" s="2"/>
      <c r="W242" s="2"/>
      <c r="X242" s="2"/>
      <c r="Y242" s="2"/>
      <c r="Z242" s="2"/>
      <c r="AA242" s="2"/>
      <c r="AB242" s="2"/>
    </row>
    <row r="243" spans="1:28" ht="15.75" customHeight="1">
      <c r="A243" s="2"/>
      <c r="B243" s="120"/>
      <c r="C243" s="2"/>
      <c r="D243" s="9"/>
      <c r="E243" s="9"/>
      <c r="F243" s="9"/>
      <c r="G243" s="9"/>
      <c r="H243" s="9"/>
      <c r="I243" s="9"/>
      <c r="J243" s="9"/>
      <c r="K243" s="9"/>
      <c r="L243" s="9"/>
      <c r="M243" s="9"/>
      <c r="N243" s="9"/>
      <c r="O243" s="9"/>
      <c r="P243" s="2"/>
      <c r="Q243" s="2"/>
      <c r="R243" s="2"/>
      <c r="S243" s="2"/>
      <c r="T243" s="2"/>
      <c r="U243" s="2"/>
      <c r="V243" s="2"/>
      <c r="W243" s="2"/>
      <c r="X243" s="2"/>
      <c r="Y243" s="2"/>
      <c r="Z243" s="2"/>
      <c r="AA243" s="2"/>
      <c r="AB243" s="2"/>
    </row>
    <row r="244" spans="1:28" ht="15.75" customHeight="1">
      <c r="A244" s="2"/>
      <c r="B244" s="120"/>
      <c r="C244" s="2"/>
      <c r="D244" s="9"/>
      <c r="E244" s="9"/>
      <c r="F244" s="9"/>
      <c r="G244" s="9"/>
      <c r="H244" s="9"/>
      <c r="I244" s="9"/>
      <c r="J244" s="9"/>
      <c r="K244" s="9"/>
      <c r="L244" s="9"/>
      <c r="M244" s="9"/>
      <c r="N244" s="9"/>
      <c r="O244" s="9"/>
      <c r="P244" s="2"/>
      <c r="Q244" s="2"/>
      <c r="R244" s="2"/>
      <c r="S244" s="2"/>
      <c r="T244" s="2"/>
      <c r="U244" s="2"/>
      <c r="V244" s="2"/>
      <c r="W244" s="2"/>
      <c r="X244" s="2"/>
      <c r="Y244" s="2"/>
      <c r="Z244" s="2"/>
      <c r="AA244" s="2"/>
      <c r="AB244" s="2"/>
    </row>
    <row r="245" spans="1:28" ht="15.75" customHeight="1">
      <c r="A245" s="2"/>
      <c r="B245" s="120"/>
      <c r="C245" s="2"/>
      <c r="D245" s="9"/>
      <c r="E245" s="9"/>
      <c r="F245" s="9"/>
      <c r="G245" s="9"/>
      <c r="H245" s="9"/>
      <c r="I245" s="9"/>
      <c r="J245" s="9"/>
      <c r="K245" s="9"/>
      <c r="L245" s="9"/>
      <c r="M245" s="9"/>
      <c r="N245" s="9"/>
      <c r="O245" s="9"/>
      <c r="P245" s="2"/>
      <c r="Q245" s="2"/>
      <c r="R245" s="2"/>
      <c r="S245" s="2"/>
      <c r="T245" s="2"/>
      <c r="U245" s="2"/>
      <c r="V245" s="2"/>
      <c r="W245" s="2"/>
      <c r="X245" s="2"/>
      <c r="Y245" s="2"/>
      <c r="Z245" s="2"/>
      <c r="AA245" s="2"/>
      <c r="AB245" s="2"/>
    </row>
    <row r="246" spans="1:28" ht="15.75" customHeight="1">
      <c r="A246" s="2"/>
      <c r="B246" s="120"/>
      <c r="C246" s="2"/>
      <c r="D246" s="9"/>
      <c r="E246" s="9"/>
      <c r="F246" s="9"/>
      <c r="G246" s="9"/>
      <c r="H246" s="9"/>
      <c r="I246" s="9"/>
      <c r="J246" s="9"/>
      <c r="K246" s="9"/>
      <c r="L246" s="9"/>
      <c r="M246" s="9"/>
      <c r="N246" s="9"/>
      <c r="O246" s="9"/>
      <c r="P246" s="2"/>
      <c r="Q246" s="2"/>
      <c r="R246" s="2"/>
      <c r="S246" s="2"/>
      <c r="T246" s="2"/>
      <c r="U246" s="2"/>
      <c r="V246" s="2"/>
      <c r="W246" s="2"/>
      <c r="X246" s="2"/>
      <c r="Y246" s="2"/>
      <c r="Z246" s="2"/>
      <c r="AA246" s="2"/>
      <c r="AB246" s="2"/>
    </row>
    <row r="247" spans="1:28" ht="15.75" customHeight="1">
      <c r="A247" s="2"/>
      <c r="B247" s="120"/>
      <c r="C247" s="2"/>
      <c r="D247" s="9"/>
      <c r="E247" s="9"/>
      <c r="F247" s="9"/>
      <c r="G247" s="9"/>
      <c r="H247" s="9"/>
      <c r="I247" s="9"/>
      <c r="J247" s="9"/>
      <c r="K247" s="9"/>
      <c r="L247" s="9"/>
      <c r="M247" s="9"/>
      <c r="N247" s="9"/>
      <c r="O247" s="9"/>
      <c r="P247" s="2"/>
      <c r="Q247" s="2"/>
      <c r="R247" s="2"/>
      <c r="S247" s="2"/>
      <c r="T247" s="2"/>
      <c r="U247" s="2"/>
      <c r="V247" s="2"/>
      <c r="W247" s="2"/>
      <c r="X247" s="2"/>
      <c r="Y247" s="2"/>
      <c r="Z247" s="2"/>
      <c r="AA247" s="2"/>
      <c r="AB247" s="2"/>
    </row>
    <row r="248" spans="1:28" ht="15.75" customHeight="1">
      <c r="A248" s="2"/>
      <c r="B248" s="120"/>
      <c r="C248" s="2"/>
      <c r="D248" s="9"/>
      <c r="E248" s="9"/>
      <c r="F248" s="9"/>
      <c r="G248" s="9"/>
      <c r="H248" s="9"/>
      <c r="I248" s="9"/>
      <c r="J248" s="9"/>
      <c r="K248" s="9"/>
      <c r="L248" s="9"/>
      <c r="M248" s="9"/>
      <c r="N248" s="9"/>
      <c r="O248" s="9"/>
      <c r="P248" s="2"/>
      <c r="Q248" s="2"/>
      <c r="R248" s="2"/>
      <c r="S248" s="2"/>
      <c r="T248" s="2"/>
      <c r="U248" s="2"/>
      <c r="V248" s="2"/>
      <c r="W248" s="2"/>
      <c r="X248" s="2"/>
      <c r="Y248" s="2"/>
      <c r="Z248" s="2"/>
      <c r="AA248" s="2"/>
      <c r="AB248" s="2"/>
    </row>
    <row r="249" spans="1:28" ht="15.75" customHeight="1">
      <c r="A249" s="2"/>
      <c r="B249" s="120"/>
      <c r="C249" s="2"/>
      <c r="D249" s="9"/>
      <c r="E249" s="9"/>
      <c r="F249" s="9"/>
      <c r="G249" s="9"/>
      <c r="H249" s="9"/>
      <c r="I249" s="9"/>
      <c r="J249" s="9"/>
      <c r="K249" s="9"/>
      <c r="L249" s="9"/>
      <c r="M249" s="9"/>
      <c r="N249" s="9"/>
      <c r="O249" s="9"/>
      <c r="P249" s="2"/>
      <c r="Q249" s="2"/>
      <c r="R249" s="2"/>
      <c r="S249" s="2"/>
      <c r="T249" s="2"/>
      <c r="U249" s="2"/>
      <c r="V249" s="2"/>
      <c r="W249" s="2"/>
      <c r="X249" s="2"/>
      <c r="Y249" s="2"/>
      <c r="Z249" s="2"/>
      <c r="AA249" s="2"/>
      <c r="AB249" s="2"/>
    </row>
    <row r="250" spans="1:28" ht="15.75" customHeight="1">
      <c r="A250" s="2"/>
      <c r="B250" s="120"/>
      <c r="C250" s="2"/>
      <c r="D250" s="9"/>
      <c r="E250" s="9"/>
      <c r="F250" s="9"/>
      <c r="G250" s="9"/>
      <c r="H250" s="9"/>
      <c r="I250" s="9"/>
      <c r="J250" s="9"/>
      <c r="K250" s="9"/>
      <c r="L250" s="9"/>
      <c r="M250" s="9"/>
      <c r="N250" s="9"/>
      <c r="O250" s="9"/>
      <c r="P250" s="2"/>
      <c r="Q250" s="2"/>
      <c r="R250" s="2"/>
      <c r="S250" s="2"/>
      <c r="T250" s="2"/>
      <c r="U250" s="2"/>
      <c r="V250" s="2"/>
      <c r="W250" s="2"/>
      <c r="X250" s="2"/>
      <c r="Y250" s="2"/>
      <c r="Z250" s="2"/>
      <c r="AA250" s="2"/>
      <c r="AB250" s="2"/>
    </row>
    <row r="251" spans="1:28" ht="15.75" customHeight="1">
      <c r="A251" s="2"/>
      <c r="B251" s="120"/>
      <c r="C251" s="2"/>
      <c r="D251" s="9"/>
      <c r="E251" s="9"/>
      <c r="F251" s="9"/>
      <c r="G251" s="9"/>
      <c r="H251" s="9"/>
      <c r="I251" s="9"/>
      <c r="J251" s="9"/>
      <c r="K251" s="9"/>
      <c r="L251" s="9"/>
      <c r="M251" s="9"/>
      <c r="N251" s="9"/>
      <c r="O251" s="9"/>
      <c r="P251" s="2"/>
      <c r="Q251" s="2"/>
      <c r="R251" s="2"/>
      <c r="S251" s="2"/>
      <c r="T251" s="2"/>
      <c r="U251" s="2"/>
      <c r="V251" s="2"/>
      <c r="W251" s="2"/>
      <c r="X251" s="2"/>
      <c r="Y251" s="2"/>
      <c r="Z251" s="2"/>
      <c r="AA251" s="2"/>
      <c r="AB251" s="2"/>
    </row>
    <row r="252" spans="1:28" ht="15.75" customHeight="1">
      <c r="A252" s="2"/>
      <c r="B252" s="120"/>
      <c r="C252" s="2"/>
      <c r="D252" s="9"/>
      <c r="E252" s="9"/>
      <c r="F252" s="9"/>
      <c r="G252" s="9"/>
      <c r="H252" s="9"/>
      <c r="I252" s="9"/>
      <c r="J252" s="9"/>
      <c r="K252" s="9"/>
      <c r="L252" s="9"/>
      <c r="M252" s="9"/>
      <c r="N252" s="9"/>
      <c r="O252" s="9"/>
      <c r="P252" s="2"/>
      <c r="Q252" s="2"/>
      <c r="R252" s="2"/>
      <c r="S252" s="2"/>
      <c r="T252" s="2"/>
      <c r="U252" s="2"/>
      <c r="V252" s="2"/>
      <c r="W252" s="2"/>
      <c r="X252" s="2"/>
      <c r="Y252" s="2"/>
      <c r="Z252" s="2"/>
      <c r="AA252" s="2"/>
      <c r="AB252" s="2"/>
    </row>
    <row r="253" spans="1:28" ht="15.75" customHeight="1">
      <c r="A253" s="2"/>
      <c r="B253" s="120"/>
      <c r="C253" s="2"/>
      <c r="D253" s="9"/>
      <c r="E253" s="9"/>
      <c r="F253" s="9"/>
      <c r="G253" s="9"/>
      <c r="H253" s="9"/>
      <c r="I253" s="9"/>
      <c r="J253" s="9"/>
      <c r="K253" s="9"/>
      <c r="L253" s="9"/>
      <c r="M253" s="9"/>
      <c r="N253" s="9"/>
      <c r="O253" s="9"/>
      <c r="P253" s="2"/>
      <c r="Q253" s="2"/>
      <c r="R253" s="2"/>
      <c r="S253" s="2"/>
      <c r="T253" s="2"/>
      <c r="U253" s="2"/>
      <c r="V253" s="2"/>
      <c r="W253" s="2"/>
      <c r="X253" s="2"/>
      <c r="Y253" s="2"/>
      <c r="Z253" s="2"/>
      <c r="AA253" s="2"/>
      <c r="AB253" s="2"/>
    </row>
    <row r="254" spans="1:28" ht="15.75" customHeight="1">
      <c r="A254" s="2"/>
      <c r="B254" s="120"/>
      <c r="C254" s="2"/>
      <c r="D254" s="9"/>
      <c r="E254" s="9"/>
      <c r="F254" s="9"/>
      <c r="G254" s="9"/>
      <c r="H254" s="9"/>
      <c r="I254" s="9"/>
      <c r="J254" s="9"/>
      <c r="K254" s="9"/>
      <c r="L254" s="9"/>
      <c r="M254" s="9"/>
      <c r="N254" s="9"/>
      <c r="O254" s="9"/>
      <c r="P254" s="2"/>
      <c r="Q254" s="2"/>
      <c r="R254" s="2"/>
      <c r="S254" s="2"/>
      <c r="T254" s="2"/>
      <c r="U254" s="2"/>
      <c r="V254" s="2"/>
      <c r="W254" s="2"/>
      <c r="X254" s="2"/>
      <c r="Y254" s="2"/>
      <c r="Z254" s="2"/>
      <c r="AA254" s="2"/>
      <c r="AB254" s="2"/>
    </row>
    <row r="255" spans="1:28" ht="15.75" customHeight="1">
      <c r="A255" s="2"/>
      <c r="B255" s="120"/>
      <c r="C255" s="2"/>
      <c r="D255" s="9"/>
      <c r="E255" s="9"/>
      <c r="F255" s="9"/>
      <c r="G255" s="9"/>
      <c r="H255" s="9"/>
      <c r="I255" s="9"/>
      <c r="J255" s="9"/>
      <c r="K255" s="9"/>
      <c r="L255" s="9"/>
      <c r="M255" s="9"/>
      <c r="N255" s="9"/>
      <c r="O255" s="9"/>
      <c r="P255" s="2"/>
      <c r="Q255" s="2"/>
      <c r="R255" s="2"/>
      <c r="S255" s="2"/>
      <c r="T255" s="2"/>
      <c r="U255" s="2"/>
      <c r="V255" s="2"/>
      <c r="W255" s="2"/>
      <c r="X255" s="2"/>
      <c r="Y255" s="2"/>
      <c r="Z255" s="2"/>
      <c r="AA255" s="2"/>
      <c r="AB255" s="2"/>
    </row>
    <row r="256" spans="1:28" ht="15.75" customHeight="1">
      <c r="A256" s="2"/>
      <c r="B256" s="120"/>
      <c r="C256" s="2"/>
      <c r="D256" s="9"/>
      <c r="E256" s="9"/>
      <c r="F256" s="9"/>
      <c r="G256" s="9"/>
      <c r="H256" s="9"/>
      <c r="I256" s="9"/>
      <c r="J256" s="9"/>
      <c r="K256" s="9"/>
      <c r="L256" s="9"/>
      <c r="M256" s="9"/>
      <c r="N256" s="9"/>
      <c r="O256" s="9"/>
      <c r="P256" s="2"/>
      <c r="Q256" s="2"/>
      <c r="R256" s="2"/>
      <c r="S256" s="2"/>
      <c r="T256" s="2"/>
      <c r="U256" s="2"/>
      <c r="V256" s="2"/>
      <c r="W256" s="2"/>
      <c r="X256" s="2"/>
      <c r="Y256" s="2"/>
      <c r="Z256" s="2"/>
      <c r="AA256" s="2"/>
      <c r="AB256" s="2"/>
    </row>
    <row r="257" spans="1:28" ht="15.75" customHeight="1">
      <c r="A257" s="2"/>
      <c r="B257" s="120"/>
      <c r="C257" s="2"/>
      <c r="D257" s="9"/>
      <c r="E257" s="9"/>
      <c r="F257" s="9"/>
      <c r="G257" s="9"/>
      <c r="H257" s="9"/>
      <c r="I257" s="9"/>
      <c r="J257" s="9"/>
      <c r="K257" s="9"/>
      <c r="L257" s="9"/>
      <c r="M257" s="9"/>
      <c r="N257" s="9"/>
      <c r="O257" s="9"/>
      <c r="P257" s="2"/>
      <c r="Q257" s="2"/>
      <c r="R257" s="2"/>
      <c r="S257" s="2"/>
      <c r="T257" s="2"/>
      <c r="U257" s="2"/>
      <c r="V257" s="2"/>
      <c r="W257" s="2"/>
      <c r="X257" s="2"/>
      <c r="Y257" s="2"/>
      <c r="Z257" s="2"/>
      <c r="AA257" s="2"/>
      <c r="AB257" s="2"/>
    </row>
    <row r="258" spans="1:28" ht="15.75" customHeight="1">
      <c r="A258" s="2"/>
      <c r="B258" s="120"/>
      <c r="C258" s="2"/>
      <c r="D258" s="9"/>
      <c r="E258" s="9"/>
      <c r="F258" s="9"/>
      <c r="G258" s="9"/>
      <c r="H258" s="9"/>
      <c r="I258" s="9"/>
      <c r="J258" s="9"/>
      <c r="K258" s="9"/>
      <c r="L258" s="9"/>
      <c r="M258" s="9"/>
      <c r="N258" s="9"/>
      <c r="O258" s="9"/>
      <c r="P258" s="2"/>
      <c r="Q258" s="2"/>
      <c r="R258" s="2"/>
      <c r="S258" s="2"/>
      <c r="T258" s="2"/>
      <c r="U258" s="2"/>
      <c r="V258" s="2"/>
      <c r="W258" s="2"/>
      <c r="X258" s="2"/>
      <c r="Y258" s="2"/>
      <c r="Z258" s="2"/>
      <c r="AA258" s="2"/>
      <c r="AB258" s="2"/>
    </row>
    <row r="259" spans="1:28" ht="15.75" customHeight="1">
      <c r="A259" s="2"/>
      <c r="B259" s="120"/>
      <c r="C259" s="2"/>
      <c r="D259" s="9"/>
      <c r="E259" s="9"/>
      <c r="F259" s="9"/>
      <c r="G259" s="9"/>
      <c r="H259" s="9"/>
      <c r="I259" s="9"/>
      <c r="J259" s="9"/>
      <c r="K259" s="9"/>
      <c r="L259" s="9"/>
      <c r="M259" s="9"/>
      <c r="N259" s="9"/>
      <c r="O259" s="9"/>
      <c r="P259" s="2"/>
      <c r="Q259" s="2"/>
      <c r="R259" s="2"/>
      <c r="S259" s="2"/>
      <c r="T259" s="2"/>
      <c r="U259" s="2"/>
      <c r="V259" s="2"/>
      <c r="W259" s="2"/>
      <c r="X259" s="2"/>
      <c r="Y259" s="2"/>
      <c r="Z259" s="2"/>
      <c r="AA259" s="2"/>
      <c r="AB259" s="2"/>
    </row>
    <row r="260" spans="1:28" ht="15.75" customHeight="1">
      <c r="A260" s="2"/>
      <c r="B260" s="120"/>
      <c r="C260" s="2"/>
      <c r="D260" s="9"/>
      <c r="E260" s="9"/>
      <c r="F260" s="9"/>
      <c r="G260" s="9"/>
      <c r="H260" s="9"/>
      <c r="I260" s="9"/>
      <c r="J260" s="9"/>
      <c r="K260" s="9"/>
      <c r="L260" s="9"/>
      <c r="M260" s="9"/>
      <c r="N260" s="9"/>
      <c r="O260" s="9"/>
      <c r="P260" s="2"/>
      <c r="Q260" s="2"/>
      <c r="R260" s="2"/>
      <c r="S260" s="2"/>
      <c r="T260" s="2"/>
      <c r="U260" s="2"/>
      <c r="V260" s="2"/>
      <c r="W260" s="2"/>
      <c r="X260" s="2"/>
      <c r="Y260" s="2"/>
      <c r="Z260" s="2"/>
      <c r="AA260" s="2"/>
      <c r="AB260" s="2"/>
    </row>
    <row r="261" spans="1:28" ht="15.75" customHeight="1">
      <c r="A261" s="2"/>
      <c r="B261" s="120"/>
      <c r="C261" s="2"/>
      <c r="D261" s="9"/>
      <c r="E261" s="9"/>
      <c r="F261" s="9"/>
      <c r="G261" s="9"/>
      <c r="H261" s="9"/>
      <c r="I261" s="9"/>
      <c r="J261" s="9"/>
      <c r="K261" s="9"/>
      <c r="L261" s="9"/>
      <c r="M261" s="9"/>
      <c r="N261" s="9"/>
      <c r="O261" s="9"/>
      <c r="P261" s="2"/>
      <c r="Q261" s="2"/>
      <c r="R261" s="2"/>
      <c r="S261" s="2"/>
      <c r="T261" s="2"/>
      <c r="U261" s="2"/>
      <c r="V261" s="2"/>
      <c r="W261" s="2"/>
      <c r="X261" s="2"/>
      <c r="Y261" s="2"/>
      <c r="Z261" s="2"/>
      <c r="AA261" s="2"/>
      <c r="AB261" s="2"/>
    </row>
    <row r="262" spans="1:28" ht="15.75" customHeight="1">
      <c r="A262" s="2"/>
      <c r="B262" s="120"/>
      <c r="C262" s="2"/>
      <c r="D262" s="9"/>
      <c r="E262" s="9"/>
      <c r="F262" s="9"/>
      <c r="G262" s="9"/>
      <c r="H262" s="9"/>
      <c r="I262" s="9"/>
      <c r="J262" s="9"/>
      <c r="K262" s="9"/>
      <c r="L262" s="9"/>
      <c r="M262" s="9"/>
      <c r="N262" s="9"/>
      <c r="O262" s="9"/>
      <c r="P262" s="2"/>
      <c r="Q262" s="2"/>
      <c r="R262" s="2"/>
      <c r="S262" s="2"/>
      <c r="T262" s="2"/>
      <c r="U262" s="2"/>
      <c r="V262" s="2"/>
      <c r="W262" s="2"/>
      <c r="X262" s="2"/>
      <c r="Y262" s="2"/>
      <c r="Z262" s="2"/>
      <c r="AA262" s="2"/>
      <c r="AB262" s="2"/>
    </row>
    <row r="263" spans="1:28" ht="15.75" customHeight="1">
      <c r="A263" s="2"/>
      <c r="B263" s="120"/>
      <c r="C263" s="2"/>
      <c r="D263" s="9"/>
      <c r="E263" s="9"/>
      <c r="F263" s="9"/>
      <c r="G263" s="9"/>
      <c r="H263" s="9"/>
      <c r="I263" s="9"/>
      <c r="J263" s="9"/>
      <c r="K263" s="9"/>
      <c r="L263" s="9"/>
      <c r="M263" s="9"/>
      <c r="N263" s="9"/>
      <c r="O263" s="9"/>
      <c r="P263" s="2"/>
      <c r="Q263" s="2"/>
      <c r="R263" s="2"/>
      <c r="S263" s="2"/>
      <c r="T263" s="2"/>
      <c r="U263" s="2"/>
      <c r="V263" s="2"/>
      <c r="W263" s="2"/>
      <c r="X263" s="2"/>
      <c r="Y263" s="2"/>
      <c r="Z263" s="2"/>
      <c r="AA263" s="2"/>
      <c r="AB263" s="2"/>
    </row>
    <row r="264" spans="1:28" ht="15.75" customHeight="1">
      <c r="A264" s="2"/>
      <c r="B264" s="120"/>
      <c r="C264" s="2"/>
      <c r="D264" s="9"/>
      <c r="E264" s="9"/>
      <c r="F264" s="9"/>
      <c r="G264" s="9"/>
      <c r="H264" s="9"/>
      <c r="I264" s="9"/>
      <c r="J264" s="9"/>
      <c r="K264" s="9"/>
      <c r="L264" s="9"/>
      <c r="M264" s="9"/>
      <c r="N264" s="9"/>
      <c r="O264" s="9"/>
      <c r="P264" s="2"/>
      <c r="Q264" s="2"/>
      <c r="R264" s="2"/>
      <c r="S264" s="2"/>
      <c r="T264" s="2"/>
      <c r="U264" s="2"/>
      <c r="V264" s="2"/>
      <c r="W264" s="2"/>
      <c r="X264" s="2"/>
      <c r="Y264" s="2"/>
      <c r="Z264" s="2"/>
      <c r="AA264" s="2"/>
      <c r="AB264" s="2"/>
    </row>
    <row r="265" spans="1:28" ht="15.75" customHeight="1">
      <c r="A265" s="2"/>
      <c r="B265" s="120"/>
      <c r="C265" s="2"/>
      <c r="D265" s="9"/>
      <c r="E265" s="9"/>
      <c r="F265" s="9"/>
      <c r="G265" s="9"/>
      <c r="H265" s="9"/>
      <c r="I265" s="9"/>
      <c r="J265" s="9"/>
      <c r="K265" s="9"/>
      <c r="L265" s="9"/>
      <c r="M265" s="9"/>
      <c r="N265" s="9"/>
      <c r="O265" s="9"/>
      <c r="P265" s="2"/>
      <c r="Q265" s="2"/>
      <c r="R265" s="2"/>
      <c r="S265" s="2"/>
      <c r="T265" s="2"/>
      <c r="U265" s="2"/>
      <c r="V265" s="2"/>
      <c r="W265" s="2"/>
      <c r="X265" s="2"/>
      <c r="Y265" s="2"/>
      <c r="Z265" s="2"/>
      <c r="AA265" s="2"/>
      <c r="AB265" s="2"/>
    </row>
    <row r="266" spans="1:28" ht="15.75" customHeight="1">
      <c r="A266" s="2"/>
      <c r="B266" s="120"/>
      <c r="C266" s="2"/>
      <c r="D266" s="9"/>
      <c r="E266" s="9"/>
      <c r="F266" s="9"/>
      <c r="G266" s="9"/>
      <c r="H266" s="9"/>
      <c r="I266" s="9"/>
      <c r="J266" s="9"/>
      <c r="K266" s="9"/>
      <c r="L266" s="9"/>
      <c r="M266" s="9"/>
      <c r="N266" s="9"/>
      <c r="O266" s="9"/>
      <c r="P266" s="2"/>
      <c r="Q266" s="2"/>
      <c r="R266" s="2"/>
      <c r="S266" s="2"/>
      <c r="T266" s="2"/>
      <c r="U266" s="2"/>
      <c r="V266" s="2"/>
      <c r="W266" s="2"/>
      <c r="X266" s="2"/>
      <c r="Y266" s="2"/>
      <c r="Z266" s="2"/>
      <c r="AA266" s="2"/>
      <c r="AB266" s="2"/>
    </row>
    <row r="267" spans="1:28" ht="15.75" customHeight="1">
      <c r="A267" s="2"/>
      <c r="B267" s="120"/>
      <c r="C267" s="2"/>
      <c r="D267" s="9"/>
      <c r="E267" s="9"/>
      <c r="F267" s="9"/>
      <c r="G267" s="9"/>
      <c r="H267" s="9"/>
      <c r="I267" s="9"/>
      <c r="J267" s="9"/>
      <c r="K267" s="9"/>
      <c r="L267" s="9"/>
      <c r="M267" s="9"/>
      <c r="N267" s="9"/>
      <c r="O267" s="9"/>
      <c r="P267" s="2"/>
      <c r="Q267" s="2"/>
      <c r="R267" s="2"/>
      <c r="S267" s="2"/>
      <c r="T267" s="2"/>
      <c r="U267" s="2"/>
      <c r="V267" s="2"/>
      <c r="W267" s="2"/>
      <c r="X267" s="2"/>
      <c r="Y267" s="2"/>
      <c r="Z267" s="2"/>
      <c r="AA267" s="2"/>
      <c r="AB267" s="2"/>
    </row>
    <row r="268" spans="1:28" ht="15.75" customHeight="1">
      <c r="A268" s="2"/>
      <c r="B268" s="120"/>
      <c r="C268" s="2"/>
      <c r="D268" s="9"/>
      <c r="E268" s="9"/>
      <c r="F268" s="9"/>
      <c r="G268" s="9"/>
      <c r="H268" s="9"/>
      <c r="I268" s="9"/>
      <c r="J268" s="9"/>
      <c r="K268" s="9"/>
      <c r="L268" s="9"/>
      <c r="M268" s="9"/>
      <c r="N268" s="9"/>
      <c r="O268" s="9"/>
      <c r="P268" s="2"/>
      <c r="Q268" s="2"/>
      <c r="R268" s="2"/>
      <c r="S268" s="2"/>
      <c r="T268" s="2"/>
      <c r="U268" s="2"/>
      <c r="V268" s="2"/>
      <c r="W268" s="2"/>
      <c r="X268" s="2"/>
      <c r="Y268" s="2"/>
      <c r="Z268" s="2"/>
      <c r="AA268" s="2"/>
      <c r="AB268" s="2"/>
    </row>
    <row r="269" spans="1:28" ht="15.75" customHeight="1">
      <c r="A269" s="2"/>
      <c r="B269" s="120"/>
      <c r="C269" s="2"/>
      <c r="D269" s="9"/>
      <c r="E269" s="9"/>
      <c r="F269" s="9"/>
      <c r="G269" s="9"/>
      <c r="H269" s="9"/>
      <c r="I269" s="9"/>
      <c r="J269" s="9"/>
      <c r="K269" s="9"/>
      <c r="L269" s="9"/>
      <c r="M269" s="9"/>
      <c r="N269" s="9"/>
      <c r="O269" s="9"/>
      <c r="P269" s="2"/>
      <c r="Q269" s="2"/>
      <c r="R269" s="2"/>
      <c r="S269" s="2"/>
      <c r="T269" s="2"/>
      <c r="U269" s="2"/>
      <c r="V269" s="2"/>
      <c r="W269" s="2"/>
      <c r="X269" s="2"/>
      <c r="Y269" s="2"/>
      <c r="Z269" s="2"/>
      <c r="AA269" s="2"/>
      <c r="AB269" s="2"/>
    </row>
    <row r="270" spans="1:28" ht="15.75" customHeight="1">
      <c r="A270" s="2"/>
      <c r="B270" s="120"/>
      <c r="C270" s="2"/>
      <c r="D270" s="9"/>
      <c r="E270" s="9"/>
      <c r="F270" s="9"/>
      <c r="G270" s="9"/>
      <c r="H270" s="9"/>
      <c r="I270" s="9"/>
      <c r="J270" s="9"/>
      <c r="K270" s="9"/>
      <c r="L270" s="9"/>
      <c r="M270" s="9"/>
      <c r="N270" s="9"/>
      <c r="O270" s="9"/>
      <c r="P270" s="2"/>
      <c r="Q270" s="2"/>
      <c r="R270" s="2"/>
      <c r="S270" s="2"/>
      <c r="T270" s="2"/>
      <c r="U270" s="2"/>
      <c r="V270" s="2"/>
      <c r="W270" s="2"/>
      <c r="X270" s="2"/>
      <c r="Y270" s="2"/>
      <c r="Z270" s="2"/>
      <c r="AA270" s="2"/>
      <c r="AB270" s="2"/>
    </row>
    <row r="271" spans="1:28" ht="15.75" customHeight="1">
      <c r="A271" s="2"/>
      <c r="B271" s="120"/>
      <c r="C271" s="2"/>
      <c r="D271" s="9"/>
      <c r="E271" s="9"/>
      <c r="F271" s="9"/>
      <c r="G271" s="9"/>
      <c r="H271" s="9"/>
      <c r="I271" s="9"/>
      <c r="J271" s="9"/>
      <c r="K271" s="9"/>
      <c r="L271" s="9"/>
      <c r="M271" s="9"/>
      <c r="N271" s="9"/>
      <c r="O271" s="9"/>
      <c r="P271" s="2"/>
      <c r="Q271" s="2"/>
      <c r="R271" s="2"/>
      <c r="S271" s="2"/>
      <c r="T271" s="2"/>
      <c r="U271" s="2"/>
      <c r="V271" s="2"/>
      <c r="W271" s="2"/>
      <c r="X271" s="2"/>
      <c r="Y271" s="2"/>
      <c r="Z271" s="2"/>
      <c r="AA271" s="2"/>
      <c r="AB271" s="2"/>
    </row>
    <row r="272" spans="1:28" ht="15.75" customHeight="1">
      <c r="A272" s="2"/>
      <c r="B272" s="120"/>
      <c r="C272" s="2"/>
      <c r="D272" s="9"/>
      <c r="E272" s="9"/>
      <c r="F272" s="9"/>
      <c r="G272" s="9"/>
      <c r="H272" s="9"/>
      <c r="I272" s="9"/>
      <c r="J272" s="9"/>
      <c r="K272" s="9"/>
      <c r="L272" s="9"/>
      <c r="M272" s="9"/>
      <c r="N272" s="9"/>
      <c r="O272" s="9"/>
      <c r="P272" s="2"/>
      <c r="Q272" s="2"/>
      <c r="R272" s="2"/>
      <c r="S272" s="2"/>
      <c r="T272" s="2"/>
      <c r="U272" s="2"/>
      <c r="V272" s="2"/>
      <c r="W272" s="2"/>
      <c r="X272" s="2"/>
      <c r="Y272" s="2"/>
      <c r="Z272" s="2"/>
      <c r="AA272" s="2"/>
      <c r="AB272" s="2"/>
    </row>
    <row r="273" spans="1:28" ht="15.75" customHeight="1">
      <c r="A273" s="2"/>
      <c r="B273" s="120"/>
      <c r="C273" s="2"/>
      <c r="D273" s="9"/>
      <c r="E273" s="9"/>
      <c r="F273" s="9"/>
      <c r="G273" s="9"/>
      <c r="H273" s="9"/>
      <c r="I273" s="9"/>
      <c r="J273" s="9"/>
      <c r="K273" s="9"/>
      <c r="L273" s="9"/>
      <c r="M273" s="9"/>
      <c r="N273" s="9"/>
      <c r="O273" s="9"/>
      <c r="P273" s="2"/>
      <c r="Q273" s="2"/>
      <c r="R273" s="2"/>
      <c r="S273" s="2"/>
      <c r="T273" s="2"/>
      <c r="U273" s="2"/>
      <c r="V273" s="2"/>
      <c r="W273" s="2"/>
      <c r="X273" s="2"/>
      <c r="Y273" s="2"/>
      <c r="Z273" s="2"/>
      <c r="AA273" s="2"/>
      <c r="AB273" s="2"/>
    </row>
    <row r="274" spans="1:28" ht="15.75" customHeight="1">
      <c r="A274" s="2"/>
      <c r="B274" s="120"/>
      <c r="C274" s="2"/>
      <c r="D274" s="9"/>
      <c r="E274" s="9"/>
      <c r="F274" s="9"/>
      <c r="G274" s="9"/>
      <c r="H274" s="9"/>
      <c r="I274" s="9"/>
      <c r="J274" s="9"/>
      <c r="K274" s="9"/>
      <c r="L274" s="9"/>
      <c r="M274" s="9"/>
      <c r="N274" s="9"/>
      <c r="O274" s="9"/>
      <c r="P274" s="2"/>
      <c r="Q274" s="2"/>
      <c r="R274" s="2"/>
      <c r="S274" s="2"/>
      <c r="T274" s="2"/>
      <c r="U274" s="2"/>
      <c r="V274" s="2"/>
      <c r="W274" s="2"/>
      <c r="X274" s="2"/>
      <c r="Y274" s="2"/>
      <c r="Z274" s="2"/>
      <c r="AA274" s="2"/>
      <c r="AB274" s="2"/>
    </row>
    <row r="275" spans="1:28" ht="15.75" customHeight="1">
      <c r="A275" s="2"/>
      <c r="B275" s="120"/>
      <c r="C275" s="2"/>
      <c r="D275" s="9"/>
      <c r="E275" s="9"/>
      <c r="F275" s="9"/>
      <c r="G275" s="9"/>
      <c r="H275" s="9"/>
      <c r="I275" s="9"/>
      <c r="J275" s="9"/>
      <c r="K275" s="9"/>
      <c r="L275" s="9"/>
      <c r="M275" s="9"/>
      <c r="N275" s="9"/>
      <c r="O275" s="9"/>
      <c r="P275" s="2"/>
      <c r="Q275" s="2"/>
      <c r="R275" s="2"/>
      <c r="S275" s="2"/>
      <c r="T275" s="2"/>
      <c r="U275" s="2"/>
      <c r="V275" s="2"/>
      <c r="W275" s="2"/>
      <c r="X275" s="2"/>
      <c r="Y275" s="2"/>
      <c r="Z275" s="2"/>
      <c r="AA275" s="2"/>
      <c r="AB275" s="2"/>
    </row>
    <row r="276" spans="1:28" ht="15.75" customHeight="1">
      <c r="A276" s="2"/>
      <c r="B276" s="120"/>
      <c r="C276" s="2"/>
      <c r="D276" s="9"/>
      <c r="E276" s="9"/>
      <c r="F276" s="9"/>
      <c r="G276" s="9"/>
      <c r="H276" s="9"/>
      <c r="I276" s="9"/>
      <c r="J276" s="9"/>
      <c r="K276" s="9"/>
      <c r="L276" s="9"/>
      <c r="M276" s="9"/>
      <c r="N276" s="9"/>
      <c r="O276" s="9"/>
      <c r="P276" s="2"/>
      <c r="Q276" s="2"/>
      <c r="R276" s="2"/>
      <c r="S276" s="2"/>
      <c r="T276" s="2"/>
      <c r="U276" s="2"/>
      <c r="V276" s="2"/>
      <c r="W276" s="2"/>
      <c r="X276" s="2"/>
      <c r="Y276" s="2"/>
      <c r="Z276" s="2"/>
      <c r="AA276" s="2"/>
      <c r="AB276" s="2"/>
    </row>
    <row r="277" spans="1:28" ht="15.75" customHeight="1">
      <c r="A277" s="2"/>
      <c r="B277" s="120"/>
      <c r="C277" s="2"/>
      <c r="D277" s="9"/>
      <c r="E277" s="9"/>
      <c r="F277" s="9"/>
      <c r="G277" s="9"/>
      <c r="H277" s="9"/>
      <c r="I277" s="9"/>
      <c r="J277" s="9"/>
      <c r="K277" s="9"/>
      <c r="L277" s="9"/>
      <c r="M277" s="9"/>
      <c r="N277" s="9"/>
      <c r="O277" s="9"/>
      <c r="P277" s="2"/>
      <c r="Q277" s="2"/>
      <c r="R277" s="2"/>
      <c r="S277" s="2"/>
      <c r="T277" s="2"/>
      <c r="U277" s="2"/>
      <c r="V277" s="2"/>
      <c r="W277" s="2"/>
      <c r="X277" s="2"/>
      <c r="Y277" s="2"/>
      <c r="Z277" s="2"/>
      <c r="AA277" s="2"/>
      <c r="AB277" s="2"/>
    </row>
    <row r="278" spans="1:28" ht="15.75" customHeight="1">
      <c r="A278" s="2"/>
      <c r="B278" s="120"/>
      <c r="C278" s="2"/>
      <c r="D278" s="9"/>
      <c r="E278" s="9"/>
      <c r="F278" s="9"/>
      <c r="G278" s="9"/>
      <c r="H278" s="9"/>
      <c r="I278" s="9"/>
      <c r="J278" s="9"/>
      <c r="K278" s="9"/>
      <c r="L278" s="9"/>
      <c r="M278" s="9"/>
      <c r="N278" s="9"/>
      <c r="O278" s="9"/>
      <c r="P278" s="2"/>
      <c r="Q278" s="2"/>
      <c r="R278" s="2"/>
      <c r="S278" s="2"/>
      <c r="T278" s="2"/>
      <c r="U278" s="2"/>
      <c r="V278" s="2"/>
      <c r="W278" s="2"/>
      <c r="X278" s="2"/>
      <c r="Y278" s="2"/>
      <c r="Z278" s="2"/>
      <c r="AA278" s="2"/>
      <c r="AB278" s="2"/>
    </row>
    <row r="279" spans="1:28" ht="15.75" customHeight="1">
      <c r="A279" s="2"/>
      <c r="B279" s="120"/>
      <c r="C279" s="2"/>
      <c r="D279" s="9"/>
      <c r="E279" s="9"/>
      <c r="F279" s="9"/>
      <c r="G279" s="9"/>
      <c r="H279" s="9"/>
      <c r="I279" s="9"/>
      <c r="J279" s="9"/>
      <c r="K279" s="9"/>
      <c r="L279" s="9"/>
      <c r="M279" s="9"/>
      <c r="N279" s="9"/>
      <c r="O279" s="9"/>
      <c r="P279" s="2"/>
      <c r="Q279" s="2"/>
      <c r="R279" s="2"/>
      <c r="S279" s="2"/>
      <c r="T279" s="2"/>
      <c r="U279" s="2"/>
      <c r="V279" s="2"/>
      <c r="W279" s="2"/>
      <c r="X279" s="2"/>
      <c r="Y279" s="2"/>
      <c r="Z279" s="2"/>
      <c r="AA279" s="2"/>
      <c r="AB279" s="2"/>
    </row>
    <row r="280" spans="1:28" ht="15.75" customHeight="1">
      <c r="A280" s="2"/>
      <c r="B280" s="120"/>
      <c r="C280" s="2"/>
      <c r="D280" s="9"/>
      <c r="E280" s="9"/>
      <c r="F280" s="9"/>
      <c r="G280" s="9"/>
      <c r="H280" s="9"/>
      <c r="I280" s="9"/>
      <c r="J280" s="9"/>
      <c r="K280" s="9"/>
      <c r="L280" s="9"/>
      <c r="M280" s="9"/>
      <c r="N280" s="9"/>
      <c r="O280" s="9"/>
      <c r="P280" s="2"/>
      <c r="Q280" s="2"/>
      <c r="R280" s="2"/>
      <c r="S280" s="2"/>
      <c r="T280" s="2"/>
      <c r="U280" s="2"/>
      <c r="V280" s="2"/>
      <c r="W280" s="2"/>
      <c r="X280" s="2"/>
      <c r="Y280" s="2"/>
      <c r="Z280" s="2"/>
      <c r="AA280" s="2"/>
      <c r="AB280" s="2"/>
    </row>
    <row r="281" spans="1:28" ht="15.75" customHeight="1">
      <c r="A281" s="2"/>
      <c r="B281" s="120"/>
      <c r="C281" s="2"/>
      <c r="D281" s="9"/>
      <c r="E281" s="9"/>
      <c r="F281" s="9"/>
      <c r="G281" s="9"/>
      <c r="H281" s="9"/>
      <c r="I281" s="9"/>
      <c r="J281" s="9"/>
      <c r="K281" s="9"/>
      <c r="L281" s="9"/>
      <c r="M281" s="9"/>
      <c r="N281" s="9"/>
      <c r="O281" s="9"/>
      <c r="P281" s="2"/>
      <c r="Q281" s="2"/>
      <c r="R281" s="2"/>
      <c r="S281" s="2"/>
      <c r="T281" s="2"/>
      <c r="U281" s="2"/>
      <c r="V281" s="2"/>
      <c r="W281" s="2"/>
      <c r="X281" s="2"/>
      <c r="Y281" s="2"/>
      <c r="Z281" s="2"/>
      <c r="AA281" s="2"/>
      <c r="AB281" s="2"/>
    </row>
    <row r="282" spans="1:28" ht="15.75" customHeight="1">
      <c r="A282" s="2"/>
      <c r="B282" s="120"/>
      <c r="C282" s="2"/>
      <c r="D282" s="9"/>
      <c r="E282" s="9"/>
      <c r="F282" s="9"/>
      <c r="G282" s="9"/>
      <c r="H282" s="9"/>
      <c r="I282" s="9"/>
      <c r="J282" s="9"/>
      <c r="K282" s="9"/>
      <c r="L282" s="9"/>
      <c r="M282" s="9"/>
      <c r="N282" s="9"/>
      <c r="O282" s="9"/>
      <c r="P282" s="2"/>
      <c r="Q282" s="2"/>
      <c r="R282" s="2"/>
      <c r="S282" s="2"/>
      <c r="T282" s="2"/>
      <c r="U282" s="2"/>
      <c r="V282" s="2"/>
      <c r="W282" s="2"/>
      <c r="X282" s="2"/>
      <c r="Y282" s="2"/>
      <c r="Z282" s="2"/>
      <c r="AA282" s="2"/>
      <c r="AB282" s="2"/>
    </row>
    <row r="283" spans="1:28" ht="15.75" customHeight="1">
      <c r="A283" s="2"/>
      <c r="B283" s="120"/>
      <c r="C283" s="2"/>
      <c r="D283" s="9"/>
      <c r="E283" s="9"/>
      <c r="F283" s="9"/>
      <c r="G283" s="9"/>
      <c r="H283" s="9"/>
      <c r="I283" s="9"/>
      <c r="J283" s="9"/>
      <c r="K283" s="9"/>
      <c r="L283" s="9"/>
      <c r="M283" s="9"/>
      <c r="N283" s="9"/>
      <c r="O283" s="9"/>
      <c r="P283" s="2"/>
      <c r="Q283" s="2"/>
      <c r="R283" s="2"/>
      <c r="S283" s="2"/>
      <c r="T283" s="2"/>
      <c r="U283" s="2"/>
      <c r="V283" s="2"/>
      <c r="W283" s="2"/>
      <c r="X283" s="2"/>
      <c r="Y283" s="2"/>
      <c r="Z283" s="2"/>
      <c r="AA283" s="2"/>
      <c r="AB283" s="2"/>
    </row>
    <row r="284" spans="1:28" ht="15.75" customHeight="1">
      <c r="A284" s="2"/>
      <c r="B284" s="120"/>
      <c r="C284" s="2"/>
      <c r="D284" s="9"/>
      <c r="E284" s="9"/>
      <c r="F284" s="9"/>
      <c r="G284" s="9"/>
      <c r="H284" s="9"/>
      <c r="I284" s="9"/>
      <c r="J284" s="9"/>
      <c r="K284" s="9"/>
      <c r="L284" s="9"/>
      <c r="M284" s="9"/>
      <c r="N284" s="9"/>
      <c r="O284" s="9"/>
      <c r="P284" s="2"/>
      <c r="Q284" s="2"/>
      <c r="R284" s="2"/>
      <c r="S284" s="2"/>
      <c r="T284" s="2"/>
      <c r="U284" s="2"/>
      <c r="V284" s="2"/>
      <c r="W284" s="2"/>
      <c r="X284" s="2"/>
      <c r="Y284" s="2"/>
      <c r="Z284" s="2"/>
      <c r="AA284" s="2"/>
      <c r="AB284" s="2"/>
    </row>
    <row r="285" spans="1:28" ht="15.75" customHeight="1">
      <c r="A285" s="2"/>
      <c r="B285" s="120"/>
      <c r="C285" s="2"/>
      <c r="D285" s="9"/>
      <c r="E285" s="9"/>
      <c r="F285" s="9"/>
      <c r="G285" s="9"/>
      <c r="H285" s="9"/>
      <c r="I285" s="9"/>
      <c r="J285" s="9"/>
      <c r="K285" s="9"/>
      <c r="L285" s="9"/>
      <c r="M285" s="9"/>
      <c r="N285" s="9"/>
      <c r="O285" s="9"/>
      <c r="P285" s="2"/>
      <c r="Q285" s="2"/>
      <c r="R285" s="2"/>
      <c r="S285" s="2"/>
      <c r="T285" s="2"/>
      <c r="U285" s="2"/>
      <c r="V285" s="2"/>
      <c r="W285" s="2"/>
      <c r="X285" s="2"/>
      <c r="Y285" s="2"/>
      <c r="Z285" s="2"/>
      <c r="AA285" s="2"/>
      <c r="AB285" s="2"/>
    </row>
    <row r="286" spans="1:28" ht="15.75" customHeight="1">
      <c r="A286" s="2"/>
      <c r="B286" s="120"/>
      <c r="C286" s="2"/>
      <c r="D286" s="9"/>
      <c r="E286" s="9"/>
      <c r="F286" s="9"/>
      <c r="G286" s="9"/>
      <c r="H286" s="9"/>
      <c r="I286" s="9"/>
      <c r="J286" s="9"/>
      <c r="K286" s="9"/>
      <c r="L286" s="9"/>
      <c r="M286" s="9"/>
      <c r="N286" s="9"/>
      <c r="O286" s="9"/>
      <c r="P286" s="2"/>
      <c r="Q286" s="2"/>
      <c r="R286" s="2"/>
      <c r="S286" s="2"/>
      <c r="T286" s="2"/>
      <c r="U286" s="2"/>
      <c r="V286" s="2"/>
      <c r="W286" s="2"/>
      <c r="X286" s="2"/>
      <c r="Y286" s="2"/>
      <c r="Z286" s="2"/>
      <c r="AA286" s="2"/>
      <c r="AB286" s="2"/>
    </row>
    <row r="287" spans="1:28" ht="15.75" customHeight="1">
      <c r="A287" s="2"/>
      <c r="B287" s="120"/>
      <c r="C287" s="2"/>
      <c r="D287" s="9"/>
      <c r="E287" s="9"/>
      <c r="F287" s="9"/>
      <c r="G287" s="9"/>
      <c r="H287" s="9"/>
      <c r="I287" s="9"/>
      <c r="J287" s="9"/>
      <c r="K287" s="9"/>
      <c r="L287" s="9"/>
      <c r="M287" s="9"/>
      <c r="N287" s="9"/>
      <c r="O287" s="9"/>
      <c r="P287" s="2"/>
      <c r="Q287" s="2"/>
      <c r="R287" s="2"/>
      <c r="S287" s="2"/>
      <c r="T287" s="2"/>
      <c r="U287" s="2"/>
      <c r="V287" s="2"/>
      <c r="W287" s="2"/>
      <c r="X287" s="2"/>
      <c r="Y287" s="2"/>
      <c r="Z287" s="2"/>
      <c r="AA287" s="2"/>
      <c r="AB287" s="2"/>
    </row>
    <row r="288" spans="1:28" ht="15.75" customHeight="1">
      <c r="A288" s="2"/>
      <c r="B288" s="120"/>
      <c r="C288" s="2"/>
      <c r="D288" s="9"/>
      <c r="E288" s="9"/>
      <c r="F288" s="9"/>
      <c r="G288" s="9"/>
      <c r="H288" s="9"/>
      <c r="I288" s="9"/>
      <c r="J288" s="9"/>
      <c r="K288" s="9"/>
      <c r="L288" s="9"/>
      <c r="M288" s="9"/>
      <c r="N288" s="9"/>
      <c r="O288" s="9"/>
      <c r="P288" s="2"/>
      <c r="Q288" s="2"/>
      <c r="R288" s="2"/>
      <c r="S288" s="2"/>
      <c r="T288" s="2"/>
      <c r="U288" s="2"/>
      <c r="V288" s="2"/>
      <c r="W288" s="2"/>
      <c r="X288" s="2"/>
      <c r="Y288" s="2"/>
      <c r="Z288" s="2"/>
      <c r="AA288" s="2"/>
      <c r="AB288" s="2"/>
    </row>
    <row r="289" spans="1:28" ht="15.75" customHeight="1">
      <c r="A289" s="2"/>
      <c r="B289" s="120"/>
      <c r="C289" s="2"/>
      <c r="D289" s="9"/>
      <c r="E289" s="9"/>
      <c r="F289" s="9"/>
      <c r="G289" s="9"/>
      <c r="H289" s="9"/>
      <c r="I289" s="9"/>
      <c r="J289" s="9"/>
      <c r="K289" s="9"/>
      <c r="L289" s="9"/>
      <c r="M289" s="9"/>
      <c r="N289" s="9"/>
      <c r="O289" s="9"/>
      <c r="P289" s="2"/>
      <c r="Q289" s="2"/>
      <c r="R289" s="2"/>
      <c r="S289" s="2"/>
      <c r="T289" s="2"/>
      <c r="U289" s="2"/>
      <c r="V289" s="2"/>
      <c r="W289" s="2"/>
      <c r="X289" s="2"/>
      <c r="Y289" s="2"/>
      <c r="Z289" s="2"/>
      <c r="AA289" s="2"/>
      <c r="AB289" s="2"/>
    </row>
    <row r="290" spans="1:28" ht="15.75" customHeight="1">
      <c r="A290" s="2"/>
      <c r="B290" s="120"/>
      <c r="C290" s="2"/>
      <c r="D290" s="9"/>
      <c r="E290" s="9"/>
      <c r="F290" s="9"/>
      <c r="G290" s="9"/>
      <c r="H290" s="9"/>
      <c r="I290" s="9"/>
      <c r="J290" s="9"/>
      <c r="K290" s="9"/>
      <c r="L290" s="9"/>
      <c r="M290" s="9"/>
      <c r="N290" s="9"/>
      <c r="O290" s="9"/>
      <c r="P290" s="2"/>
      <c r="Q290" s="2"/>
      <c r="R290" s="2"/>
      <c r="S290" s="2"/>
      <c r="T290" s="2"/>
      <c r="U290" s="2"/>
      <c r="V290" s="2"/>
      <c r="W290" s="2"/>
      <c r="X290" s="2"/>
      <c r="Y290" s="2"/>
      <c r="Z290" s="2"/>
      <c r="AA290" s="2"/>
      <c r="AB290" s="2"/>
    </row>
    <row r="291" spans="1:28" ht="15.75" customHeight="1">
      <c r="A291" s="2"/>
      <c r="B291" s="120"/>
      <c r="C291" s="2"/>
      <c r="D291" s="9"/>
      <c r="E291" s="9"/>
      <c r="F291" s="9"/>
      <c r="G291" s="9"/>
      <c r="H291" s="9"/>
      <c r="I291" s="9"/>
      <c r="J291" s="9"/>
      <c r="K291" s="9"/>
      <c r="L291" s="9"/>
      <c r="M291" s="9"/>
      <c r="N291" s="9"/>
      <c r="O291" s="9"/>
      <c r="P291" s="2"/>
      <c r="Q291" s="2"/>
      <c r="R291" s="2"/>
      <c r="S291" s="2"/>
      <c r="T291" s="2"/>
      <c r="U291" s="2"/>
      <c r="V291" s="2"/>
      <c r="W291" s="2"/>
      <c r="X291" s="2"/>
      <c r="Y291" s="2"/>
      <c r="Z291" s="2"/>
      <c r="AA291" s="2"/>
      <c r="AB291" s="2"/>
    </row>
    <row r="292" spans="1:28" ht="15.75" customHeight="1">
      <c r="A292" s="2"/>
      <c r="B292" s="120"/>
      <c r="C292" s="2"/>
      <c r="D292" s="9"/>
      <c r="E292" s="9"/>
      <c r="F292" s="9"/>
      <c r="G292" s="9"/>
      <c r="H292" s="9"/>
      <c r="I292" s="9"/>
      <c r="J292" s="9"/>
      <c r="K292" s="9"/>
      <c r="L292" s="9"/>
      <c r="M292" s="9"/>
      <c r="N292" s="9"/>
      <c r="O292" s="9"/>
      <c r="P292" s="2"/>
      <c r="Q292" s="2"/>
      <c r="R292" s="2"/>
      <c r="S292" s="2"/>
      <c r="T292" s="2"/>
      <c r="U292" s="2"/>
      <c r="V292" s="2"/>
      <c r="W292" s="2"/>
      <c r="X292" s="2"/>
      <c r="Y292" s="2"/>
      <c r="Z292" s="2"/>
      <c r="AA292" s="2"/>
      <c r="AB292" s="2"/>
    </row>
    <row r="293" spans="1:28" ht="15.75" customHeight="1">
      <c r="A293" s="2"/>
      <c r="B293" s="120"/>
      <c r="C293" s="2"/>
      <c r="D293" s="9"/>
      <c r="E293" s="9"/>
      <c r="F293" s="9"/>
      <c r="G293" s="9"/>
      <c r="H293" s="9"/>
      <c r="I293" s="9"/>
      <c r="J293" s="9"/>
      <c r="K293" s="9"/>
      <c r="L293" s="9"/>
      <c r="M293" s="9"/>
      <c r="N293" s="9"/>
      <c r="O293" s="9"/>
      <c r="P293" s="2"/>
      <c r="Q293" s="2"/>
      <c r="R293" s="2"/>
      <c r="S293" s="2"/>
      <c r="T293" s="2"/>
      <c r="U293" s="2"/>
      <c r="V293" s="2"/>
      <c r="W293" s="2"/>
      <c r="X293" s="2"/>
      <c r="Y293" s="2"/>
      <c r="Z293" s="2"/>
      <c r="AA293" s="2"/>
      <c r="AB293" s="2"/>
    </row>
    <row r="294" spans="1:28" ht="15.75" customHeight="1">
      <c r="A294" s="2"/>
      <c r="B294" s="120"/>
      <c r="C294" s="2"/>
      <c r="D294" s="9"/>
      <c r="E294" s="9"/>
      <c r="F294" s="9"/>
      <c r="G294" s="9"/>
      <c r="H294" s="9"/>
      <c r="I294" s="9"/>
      <c r="J294" s="9"/>
      <c r="K294" s="9"/>
      <c r="L294" s="9"/>
      <c r="M294" s="9"/>
      <c r="N294" s="9"/>
      <c r="O294" s="9"/>
      <c r="P294" s="2"/>
      <c r="Q294" s="2"/>
      <c r="R294" s="2"/>
      <c r="S294" s="2"/>
      <c r="T294" s="2"/>
      <c r="U294" s="2"/>
      <c r="V294" s="2"/>
      <c r="W294" s="2"/>
      <c r="X294" s="2"/>
      <c r="Y294" s="2"/>
      <c r="Z294" s="2"/>
      <c r="AA294" s="2"/>
      <c r="AB294" s="2"/>
    </row>
    <row r="295" spans="1:28" ht="15.75" customHeight="1">
      <c r="A295" s="2"/>
      <c r="B295" s="120"/>
      <c r="C295" s="2"/>
      <c r="D295" s="9"/>
      <c r="E295" s="9"/>
      <c r="F295" s="9"/>
      <c r="G295" s="9"/>
      <c r="H295" s="9"/>
      <c r="I295" s="9"/>
      <c r="J295" s="9"/>
      <c r="K295" s="9"/>
      <c r="L295" s="9"/>
      <c r="M295" s="9"/>
      <c r="N295" s="9"/>
      <c r="O295" s="9"/>
      <c r="P295" s="2"/>
      <c r="Q295" s="2"/>
      <c r="R295" s="2"/>
      <c r="S295" s="2"/>
      <c r="T295" s="2"/>
      <c r="U295" s="2"/>
      <c r="V295" s="2"/>
      <c r="W295" s="2"/>
      <c r="X295" s="2"/>
      <c r="Y295" s="2"/>
      <c r="Z295" s="2"/>
      <c r="AA295" s="2"/>
      <c r="AB295" s="2"/>
    </row>
    <row r="296" spans="1:28" ht="15.75" customHeight="1">
      <c r="A296" s="2"/>
      <c r="B296" s="120"/>
      <c r="C296" s="2"/>
      <c r="D296" s="9"/>
      <c r="E296" s="9"/>
      <c r="F296" s="9"/>
      <c r="G296" s="9"/>
      <c r="H296" s="9"/>
      <c r="I296" s="9"/>
      <c r="J296" s="9"/>
      <c r="K296" s="9"/>
      <c r="L296" s="9"/>
      <c r="M296" s="9"/>
      <c r="N296" s="9"/>
      <c r="O296" s="9"/>
      <c r="P296" s="2"/>
      <c r="Q296" s="2"/>
      <c r="R296" s="2"/>
      <c r="S296" s="2"/>
      <c r="T296" s="2"/>
      <c r="U296" s="2"/>
      <c r="V296" s="2"/>
      <c r="W296" s="2"/>
      <c r="X296" s="2"/>
      <c r="Y296" s="2"/>
      <c r="Z296" s="2"/>
      <c r="AA296" s="2"/>
      <c r="AB296" s="2"/>
    </row>
    <row r="297" spans="1:28" ht="15.75" customHeight="1">
      <c r="A297" s="2"/>
      <c r="B297" s="120"/>
      <c r="C297" s="2"/>
      <c r="D297" s="9"/>
      <c r="E297" s="9"/>
      <c r="F297" s="9"/>
      <c r="G297" s="9"/>
      <c r="H297" s="9"/>
      <c r="I297" s="9"/>
      <c r="J297" s="9"/>
      <c r="K297" s="9"/>
      <c r="L297" s="9"/>
      <c r="M297" s="9"/>
      <c r="N297" s="9"/>
      <c r="O297" s="9"/>
      <c r="P297" s="2"/>
      <c r="Q297" s="2"/>
      <c r="R297" s="2"/>
      <c r="S297" s="2"/>
      <c r="T297" s="2"/>
      <c r="U297" s="2"/>
      <c r="V297" s="2"/>
      <c r="W297" s="2"/>
      <c r="X297" s="2"/>
      <c r="Y297" s="2"/>
      <c r="Z297" s="2"/>
      <c r="AA297" s="2"/>
      <c r="AB297" s="2"/>
    </row>
    <row r="298" spans="1:28" ht="15.75" customHeight="1">
      <c r="A298" s="2"/>
      <c r="B298" s="120"/>
      <c r="C298" s="2"/>
      <c r="D298" s="9"/>
      <c r="E298" s="9"/>
      <c r="F298" s="9"/>
      <c r="G298" s="9"/>
      <c r="H298" s="9"/>
      <c r="I298" s="9"/>
      <c r="J298" s="9"/>
      <c r="K298" s="9"/>
      <c r="L298" s="9"/>
      <c r="M298" s="9"/>
      <c r="N298" s="9"/>
      <c r="O298" s="9"/>
      <c r="P298" s="2"/>
      <c r="Q298" s="2"/>
      <c r="R298" s="2"/>
      <c r="S298" s="2"/>
      <c r="T298" s="2"/>
      <c r="U298" s="2"/>
      <c r="V298" s="2"/>
      <c r="W298" s="2"/>
      <c r="X298" s="2"/>
      <c r="Y298" s="2"/>
      <c r="Z298" s="2"/>
      <c r="AA298" s="2"/>
      <c r="AB298" s="2"/>
    </row>
    <row r="299" spans="1:28" ht="15.75" customHeight="1">
      <c r="A299" s="2"/>
      <c r="B299" s="120"/>
      <c r="C299" s="2"/>
      <c r="D299" s="9"/>
      <c r="E299" s="9"/>
      <c r="F299" s="9"/>
      <c r="G299" s="9"/>
      <c r="H299" s="9"/>
      <c r="I299" s="9"/>
      <c r="J299" s="9"/>
      <c r="K299" s="9"/>
      <c r="L299" s="9"/>
      <c r="M299" s="9"/>
      <c r="N299" s="9"/>
      <c r="O299" s="9"/>
      <c r="P299" s="2"/>
      <c r="Q299" s="2"/>
      <c r="R299" s="2"/>
      <c r="S299" s="2"/>
      <c r="T299" s="2"/>
      <c r="U299" s="2"/>
      <c r="V299" s="2"/>
      <c r="W299" s="2"/>
      <c r="X299" s="2"/>
      <c r="Y299" s="2"/>
      <c r="Z299" s="2"/>
      <c r="AA299" s="2"/>
      <c r="AB299" s="2"/>
    </row>
    <row r="300" spans="1:28" ht="15.75" customHeight="1">
      <c r="A300" s="2"/>
      <c r="B300" s="120"/>
      <c r="C300" s="2"/>
      <c r="D300" s="9"/>
      <c r="E300" s="9"/>
      <c r="F300" s="9"/>
      <c r="G300" s="9"/>
      <c r="H300" s="9"/>
      <c r="I300" s="9"/>
      <c r="J300" s="9"/>
      <c r="K300" s="9"/>
      <c r="L300" s="9"/>
      <c r="M300" s="9"/>
      <c r="N300" s="9"/>
      <c r="O300" s="9"/>
      <c r="P300" s="2"/>
      <c r="Q300" s="2"/>
      <c r="R300" s="2"/>
      <c r="S300" s="2"/>
      <c r="T300" s="2"/>
      <c r="U300" s="2"/>
      <c r="V300" s="2"/>
      <c r="W300" s="2"/>
      <c r="X300" s="2"/>
      <c r="Y300" s="2"/>
      <c r="Z300" s="2"/>
      <c r="AA300" s="2"/>
      <c r="AB300" s="2"/>
    </row>
    <row r="301" spans="1:28" ht="15.75" customHeight="1">
      <c r="A301" s="2"/>
      <c r="B301" s="120"/>
      <c r="C301" s="2"/>
      <c r="D301" s="9"/>
      <c r="E301" s="9"/>
      <c r="F301" s="9"/>
      <c r="G301" s="9"/>
      <c r="H301" s="9"/>
      <c r="I301" s="9"/>
      <c r="J301" s="9"/>
      <c r="K301" s="9"/>
      <c r="L301" s="9"/>
      <c r="M301" s="9"/>
      <c r="N301" s="9"/>
      <c r="O301" s="9"/>
      <c r="P301" s="2"/>
      <c r="Q301" s="2"/>
      <c r="R301" s="2"/>
      <c r="S301" s="2"/>
      <c r="T301" s="2"/>
      <c r="U301" s="2"/>
      <c r="V301" s="2"/>
      <c r="W301" s="2"/>
      <c r="X301" s="2"/>
      <c r="Y301" s="2"/>
      <c r="Z301" s="2"/>
      <c r="AA301" s="2"/>
      <c r="AB301" s="2"/>
    </row>
    <row r="302" spans="1:28" ht="15.75" customHeight="1">
      <c r="A302" s="2"/>
      <c r="B302" s="120"/>
      <c r="C302" s="2"/>
      <c r="D302" s="9"/>
      <c r="E302" s="9"/>
      <c r="F302" s="9"/>
      <c r="G302" s="9"/>
      <c r="H302" s="9"/>
      <c r="I302" s="9"/>
      <c r="J302" s="9"/>
      <c r="K302" s="9"/>
      <c r="L302" s="9"/>
      <c r="M302" s="9"/>
      <c r="N302" s="9"/>
      <c r="O302" s="9"/>
      <c r="P302" s="2"/>
      <c r="Q302" s="2"/>
      <c r="R302" s="2"/>
      <c r="S302" s="2"/>
      <c r="T302" s="2"/>
      <c r="U302" s="2"/>
      <c r="V302" s="2"/>
      <c r="W302" s="2"/>
      <c r="X302" s="2"/>
      <c r="Y302" s="2"/>
      <c r="Z302" s="2"/>
      <c r="AA302" s="2"/>
      <c r="AB302" s="2"/>
    </row>
    <row r="303" spans="1:28" ht="15.75" customHeight="1">
      <c r="A303" s="2"/>
      <c r="B303" s="120"/>
      <c r="C303" s="2"/>
      <c r="D303" s="9"/>
      <c r="E303" s="9"/>
      <c r="F303" s="9"/>
      <c r="G303" s="9"/>
      <c r="H303" s="9"/>
      <c r="I303" s="9"/>
      <c r="J303" s="9"/>
      <c r="K303" s="9"/>
      <c r="L303" s="9"/>
      <c r="M303" s="9"/>
      <c r="N303" s="9"/>
      <c r="O303" s="9"/>
      <c r="P303" s="2"/>
      <c r="Q303" s="2"/>
      <c r="R303" s="2"/>
      <c r="S303" s="2"/>
      <c r="T303" s="2"/>
      <c r="U303" s="2"/>
      <c r="V303" s="2"/>
      <c r="W303" s="2"/>
      <c r="X303" s="2"/>
      <c r="Y303" s="2"/>
      <c r="Z303" s="2"/>
      <c r="AA303" s="2"/>
      <c r="AB303" s="2"/>
    </row>
    <row r="304" spans="1:28" ht="15.75" customHeight="1">
      <c r="A304" s="2"/>
      <c r="B304" s="120"/>
      <c r="C304" s="2"/>
      <c r="D304" s="9"/>
      <c r="E304" s="9"/>
      <c r="F304" s="9"/>
      <c r="G304" s="9"/>
      <c r="H304" s="9"/>
      <c r="I304" s="9"/>
      <c r="J304" s="9"/>
      <c r="K304" s="9"/>
      <c r="L304" s="9"/>
      <c r="M304" s="9"/>
      <c r="N304" s="9"/>
      <c r="O304" s="9"/>
      <c r="P304" s="2"/>
      <c r="Q304" s="2"/>
      <c r="R304" s="2"/>
      <c r="S304" s="2"/>
      <c r="T304" s="2"/>
      <c r="U304" s="2"/>
      <c r="V304" s="2"/>
      <c r="W304" s="2"/>
      <c r="X304" s="2"/>
      <c r="Y304" s="2"/>
      <c r="Z304" s="2"/>
      <c r="AA304" s="2"/>
      <c r="AB304" s="2"/>
    </row>
    <row r="305" spans="1:28" ht="15.75" customHeight="1">
      <c r="A305" s="2"/>
      <c r="B305" s="120"/>
      <c r="C305" s="2"/>
      <c r="D305" s="9"/>
      <c r="E305" s="9"/>
      <c r="F305" s="9"/>
      <c r="G305" s="9"/>
      <c r="H305" s="9"/>
      <c r="I305" s="9"/>
      <c r="J305" s="9"/>
      <c r="K305" s="9"/>
      <c r="L305" s="9"/>
      <c r="M305" s="9"/>
      <c r="N305" s="9"/>
      <c r="O305" s="9"/>
      <c r="P305" s="2"/>
      <c r="Q305" s="2"/>
      <c r="R305" s="2"/>
      <c r="S305" s="2"/>
      <c r="T305" s="2"/>
      <c r="U305" s="2"/>
      <c r="V305" s="2"/>
      <c r="W305" s="2"/>
      <c r="X305" s="2"/>
      <c r="Y305" s="2"/>
      <c r="Z305" s="2"/>
      <c r="AA305" s="2"/>
      <c r="AB305" s="2"/>
    </row>
    <row r="306" spans="1:28" ht="15.75" customHeight="1">
      <c r="A306" s="2"/>
      <c r="B306" s="120"/>
      <c r="C306" s="2"/>
      <c r="D306" s="9"/>
      <c r="E306" s="9"/>
      <c r="F306" s="9"/>
      <c r="G306" s="9"/>
      <c r="H306" s="9"/>
      <c r="I306" s="9"/>
      <c r="J306" s="9"/>
      <c r="K306" s="9"/>
      <c r="L306" s="9"/>
      <c r="M306" s="9"/>
      <c r="N306" s="9"/>
      <c r="O306" s="9"/>
      <c r="P306" s="2"/>
      <c r="Q306" s="2"/>
      <c r="R306" s="2"/>
      <c r="S306" s="2"/>
      <c r="T306" s="2"/>
      <c r="U306" s="2"/>
      <c r="V306" s="2"/>
      <c r="W306" s="2"/>
      <c r="X306" s="2"/>
      <c r="Y306" s="2"/>
      <c r="Z306" s="2"/>
      <c r="AA306" s="2"/>
      <c r="AB306" s="2"/>
    </row>
    <row r="307" spans="1:28" ht="15.75" customHeight="1">
      <c r="A307" s="2"/>
      <c r="B307" s="120"/>
      <c r="C307" s="2"/>
      <c r="D307" s="9"/>
      <c r="E307" s="9"/>
      <c r="F307" s="9"/>
      <c r="G307" s="9"/>
      <c r="H307" s="9"/>
      <c r="I307" s="9"/>
      <c r="J307" s="9"/>
      <c r="K307" s="9"/>
      <c r="L307" s="9"/>
      <c r="M307" s="9"/>
      <c r="N307" s="9"/>
      <c r="O307" s="9"/>
      <c r="P307" s="2"/>
      <c r="Q307" s="2"/>
      <c r="R307" s="2"/>
      <c r="S307" s="2"/>
      <c r="T307" s="2"/>
      <c r="U307" s="2"/>
      <c r="V307" s="2"/>
      <c r="W307" s="2"/>
      <c r="X307" s="2"/>
      <c r="Y307" s="2"/>
      <c r="Z307" s="2"/>
      <c r="AA307" s="2"/>
      <c r="AB307" s="2"/>
    </row>
    <row r="308" spans="1:28" ht="15.75" customHeight="1">
      <c r="A308" s="2"/>
      <c r="B308" s="120"/>
      <c r="C308" s="2"/>
      <c r="D308" s="9"/>
      <c r="E308" s="9"/>
      <c r="F308" s="9"/>
      <c r="G308" s="9"/>
      <c r="H308" s="9"/>
      <c r="I308" s="9"/>
      <c r="J308" s="9"/>
      <c r="K308" s="9"/>
      <c r="L308" s="9"/>
      <c r="M308" s="9"/>
      <c r="N308" s="9"/>
      <c r="O308" s="9"/>
      <c r="P308" s="2"/>
      <c r="Q308" s="2"/>
      <c r="R308" s="2"/>
      <c r="S308" s="2"/>
      <c r="T308" s="2"/>
      <c r="U308" s="2"/>
      <c r="V308" s="2"/>
      <c r="W308" s="2"/>
      <c r="X308" s="2"/>
      <c r="Y308" s="2"/>
      <c r="Z308" s="2"/>
      <c r="AA308" s="2"/>
      <c r="AB308" s="2"/>
    </row>
    <row r="309" spans="1:28" ht="15.75" customHeight="1">
      <c r="A309" s="2"/>
      <c r="B309" s="120"/>
      <c r="C309" s="2"/>
      <c r="D309" s="9"/>
      <c r="E309" s="9"/>
      <c r="F309" s="9"/>
      <c r="G309" s="9"/>
      <c r="H309" s="9"/>
      <c r="I309" s="9"/>
      <c r="J309" s="9"/>
      <c r="K309" s="9"/>
      <c r="L309" s="9"/>
      <c r="M309" s="9"/>
      <c r="N309" s="9"/>
      <c r="O309" s="9"/>
      <c r="P309" s="2"/>
      <c r="Q309" s="2"/>
      <c r="R309" s="2"/>
      <c r="S309" s="2"/>
      <c r="T309" s="2"/>
      <c r="U309" s="2"/>
      <c r="V309" s="2"/>
      <c r="W309" s="2"/>
      <c r="X309" s="2"/>
      <c r="Y309" s="2"/>
      <c r="Z309" s="2"/>
      <c r="AA309" s="2"/>
      <c r="AB309" s="2"/>
    </row>
    <row r="310" spans="1:28" ht="15.75" customHeight="1">
      <c r="A310" s="2"/>
      <c r="B310" s="120"/>
      <c r="C310" s="2"/>
      <c r="D310" s="9"/>
      <c r="E310" s="9"/>
      <c r="F310" s="9"/>
      <c r="G310" s="9"/>
      <c r="H310" s="9"/>
      <c r="I310" s="9"/>
      <c r="J310" s="9"/>
      <c r="K310" s="9"/>
      <c r="L310" s="9"/>
      <c r="M310" s="9"/>
      <c r="N310" s="9"/>
      <c r="O310" s="9"/>
      <c r="P310" s="2"/>
      <c r="Q310" s="2"/>
      <c r="R310" s="2"/>
      <c r="S310" s="2"/>
      <c r="T310" s="2"/>
      <c r="U310" s="2"/>
      <c r="V310" s="2"/>
      <c r="W310" s="2"/>
      <c r="X310" s="2"/>
      <c r="Y310" s="2"/>
      <c r="Z310" s="2"/>
      <c r="AA310" s="2"/>
      <c r="AB310" s="2"/>
    </row>
    <row r="311" spans="1:28" ht="15.75" customHeight="1">
      <c r="A311" s="2"/>
      <c r="B311" s="120"/>
      <c r="C311" s="2"/>
      <c r="D311" s="9"/>
      <c r="E311" s="9"/>
      <c r="F311" s="9"/>
      <c r="G311" s="9"/>
      <c r="H311" s="9"/>
      <c r="I311" s="9"/>
      <c r="J311" s="9"/>
      <c r="K311" s="9"/>
      <c r="L311" s="9"/>
      <c r="M311" s="9"/>
      <c r="N311" s="9"/>
      <c r="O311" s="9"/>
      <c r="P311" s="2"/>
      <c r="Q311" s="2"/>
      <c r="R311" s="2"/>
      <c r="S311" s="2"/>
      <c r="T311" s="2"/>
      <c r="U311" s="2"/>
      <c r="V311" s="2"/>
      <c r="W311" s="2"/>
      <c r="X311" s="2"/>
      <c r="Y311" s="2"/>
      <c r="Z311" s="2"/>
      <c r="AA311" s="2"/>
      <c r="AB311" s="2"/>
    </row>
    <row r="312" spans="1:28" ht="15.75" customHeight="1">
      <c r="A312" s="2"/>
      <c r="B312" s="120"/>
      <c r="C312" s="2"/>
      <c r="D312" s="9"/>
      <c r="E312" s="9"/>
      <c r="F312" s="9"/>
      <c r="G312" s="9"/>
      <c r="H312" s="9"/>
      <c r="I312" s="9"/>
      <c r="J312" s="9"/>
      <c r="K312" s="9"/>
      <c r="L312" s="9"/>
      <c r="M312" s="9"/>
      <c r="N312" s="9"/>
      <c r="O312" s="9"/>
      <c r="P312" s="2"/>
      <c r="Q312" s="2"/>
      <c r="R312" s="2"/>
      <c r="S312" s="2"/>
      <c r="T312" s="2"/>
      <c r="U312" s="2"/>
      <c r="V312" s="2"/>
      <c r="W312" s="2"/>
      <c r="X312" s="2"/>
      <c r="Y312" s="2"/>
      <c r="Z312" s="2"/>
      <c r="AA312" s="2"/>
      <c r="AB312" s="2"/>
    </row>
    <row r="313" spans="1:28" ht="15.75" customHeight="1">
      <c r="A313" s="2"/>
      <c r="B313" s="120"/>
      <c r="C313" s="2"/>
      <c r="D313" s="9"/>
      <c r="E313" s="9"/>
      <c r="F313" s="9"/>
      <c r="G313" s="9"/>
      <c r="H313" s="9"/>
      <c r="I313" s="9"/>
      <c r="J313" s="9"/>
      <c r="K313" s="9"/>
      <c r="L313" s="9"/>
      <c r="M313" s="9"/>
      <c r="N313" s="9"/>
      <c r="O313" s="9"/>
      <c r="P313" s="2"/>
      <c r="Q313" s="2"/>
      <c r="R313" s="2"/>
      <c r="S313" s="2"/>
      <c r="T313" s="2"/>
      <c r="U313" s="2"/>
      <c r="V313" s="2"/>
      <c r="W313" s="2"/>
      <c r="X313" s="2"/>
      <c r="Y313" s="2"/>
      <c r="Z313" s="2"/>
      <c r="AA313" s="2"/>
      <c r="AB313" s="2"/>
    </row>
    <row r="314" spans="1:28" ht="15.75" customHeight="1">
      <c r="A314" s="2"/>
      <c r="B314" s="120"/>
      <c r="C314" s="2"/>
      <c r="D314" s="9"/>
      <c r="E314" s="9"/>
      <c r="F314" s="9"/>
      <c r="G314" s="9"/>
      <c r="H314" s="9"/>
      <c r="I314" s="9"/>
      <c r="J314" s="9"/>
      <c r="K314" s="9"/>
      <c r="L314" s="9"/>
      <c r="M314" s="9"/>
      <c r="N314" s="9"/>
      <c r="O314" s="9"/>
      <c r="P314" s="2"/>
      <c r="Q314" s="2"/>
      <c r="R314" s="2"/>
      <c r="S314" s="2"/>
      <c r="T314" s="2"/>
      <c r="U314" s="2"/>
      <c r="V314" s="2"/>
      <c r="W314" s="2"/>
      <c r="X314" s="2"/>
      <c r="Y314" s="2"/>
      <c r="Z314" s="2"/>
      <c r="AA314" s="2"/>
      <c r="AB314" s="2"/>
    </row>
    <row r="315" spans="1:28" ht="15.75" customHeight="1">
      <c r="A315" s="2"/>
      <c r="B315" s="120"/>
      <c r="C315" s="2"/>
      <c r="D315" s="9"/>
      <c r="E315" s="9"/>
      <c r="F315" s="9"/>
      <c r="G315" s="9"/>
      <c r="H315" s="9"/>
      <c r="I315" s="9"/>
      <c r="J315" s="9"/>
      <c r="K315" s="9"/>
      <c r="L315" s="9"/>
      <c r="M315" s="9"/>
      <c r="N315" s="9"/>
      <c r="O315" s="9"/>
      <c r="P315" s="2"/>
      <c r="Q315" s="2"/>
      <c r="R315" s="2"/>
      <c r="S315" s="2"/>
      <c r="T315" s="2"/>
      <c r="U315" s="2"/>
      <c r="V315" s="2"/>
      <c r="W315" s="2"/>
      <c r="X315" s="2"/>
      <c r="Y315" s="2"/>
      <c r="Z315" s="2"/>
      <c r="AA315" s="2"/>
      <c r="AB315" s="2"/>
    </row>
    <row r="316" spans="1:28" ht="15.75" customHeight="1">
      <c r="A316" s="2"/>
      <c r="B316" s="120"/>
      <c r="C316" s="2"/>
      <c r="D316" s="9"/>
      <c r="E316" s="9"/>
      <c r="F316" s="9"/>
      <c r="G316" s="9"/>
      <c r="H316" s="9"/>
      <c r="I316" s="9"/>
      <c r="J316" s="9"/>
      <c r="K316" s="9"/>
      <c r="L316" s="9"/>
      <c r="M316" s="9"/>
      <c r="N316" s="9"/>
      <c r="O316" s="9"/>
      <c r="P316" s="2"/>
      <c r="Q316" s="2"/>
      <c r="R316" s="2"/>
      <c r="S316" s="2"/>
      <c r="T316" s="2"/>
      <c r="U316" s="2"/>
      <c r="V316" s="2"/>
      <c r="W316" s="2"/>
      <c r="X316" s="2"/>
      <c r="Y316" s="2"/>
      <c r="Z316" s="2"/>
      <c r="AA316" s="2"/>
      <c r="AB316" s="2"/>
    </row>
    <row r="317" spans="1:28" ht="15.75" customHeight="1">
      <c r="A317" s="2"/>
      <c r="B317" s="120"/>
      <c r="C317" s="2"/>
      <c r="D317" s="9"/>
      <c r="E317" s="9"/>
      <c r="F317" s="9"/>
      <c r="G317" s="9"/>
      <c r="H317" s="9"/>
      <c r="I317" s="9"/>
      <c r="J317" s="9"/>
      <c r="K317" s="9"/>
      <c r="L317" s="9"/>
      <c r="M317" s="9"/>
      <c r="N317" s="9"/>
      <c r="O317" s="9"/>
      <c r="P317" s="2"/>
      <c r="Q317" s="2"/>
      <c r="R317" s="2"/>
      <c r="S317" s="2"/>
      <c r="T317" s="2"/>
      <c r="U317" s="2"/>
      <c r="V317" s="2"/>
      <c r="W317" s="2"/>
      <c r="X317" s="2"/>
      <c r="Y317" s="2"/>
      <c r="Z317" s="2"/>
      <c r="AA317" s="2"/>
      <c r="AB317" s="2"/>
    </row>
    <row r="318" spans="1:28" ht="15.75" customHeight="1">
      <c r="A318" s="2"/>
      <c r="B318" s="120"/>
      <c r="C318" s="2"/>
      <c r="D318" s="9"/>
      <c r="E318" s="9"/>
      <c r="F318" s="9"/>
      <c r="G318" s="9"/>
      <c r="H318" s="9"/>
      <c r="I318" s="9"/>
      <c r="J318" s="9"/>
      <c r="K318" s="9"/>
      <c r="L318" s="9"/>
      <c r="M318" s="9"/>
      <c r="N318" s="9"/>
      <c r="O318" s="9"/>
      <c r="P318" s="2"/>
      <c r="Q318" s="2"/>
      <c r="R318" s="2"/>
      <c r="S318" s="2"/>
      <c r="T318" s="2"/>
      <c r="U318" s="2"/>
      <c r="V318" s="2"/>
      <c r="W318" s="2"/>
      <c r="X318" s="2"/>
      <c r="Y318" s="2"/>
      <c r="Z318" s="2"/>
      <c r="AA318" s="2"/>
      <c r="AB318" s="2"/>
    </row>
    <row r="319" spans="1:28" ht="15.75" customHeight="1">
      <c r="A319" s="2"/>
      <c r="B319" s="120"/>
      <c r="C319" s="2"/>
      <c r="D319" s="9"/>
      <c r="E319" s="9"/>
      <c r="F319" s="9"/>
      <c r="G319" s="9"/>
      <c r="H319" s="9"/>
      <c r="I319" s="9"/>
      <c r="J319" s="9"/>
      <c r="K319" s="9"/>
      <c r="L319" s="9"/>
      <c r="M319" s="9"/>
      <c r="N319" s="9"/>
      <c r="O319" s="9"/>
      <c r="P319" s="2"/>
      <c r="Q319" s="2"/>
      <c r="R319" s="2"/>
      <c r="S319" s="2"/>
      <c r="T319" s="2"/>
      <c r="U319" s="2"/>
      <c r="V319" s="2"/>
      <c r="W319" s="2"/>
      <c r="X319" s="2"/>
      <c r="Y319" s="2"/>
      <c r="Z319" s="2"/>
      <c r="AA319" s="2"/>
      <c r="AB319" s="2"/>
    </row>
    <row r="320" spans="1:28" ht="15.75" customHeight="1">
      <c r="A320" s="2"/>
      <c r="B320" s="120"/>
      <c r="C320" s="2"/>
      <c r="D320" s="9"/>
      <c r="E320" s="9"/>
      <c r="F320" s="9"/>
      <c r="G320" s="9"/>
      <c r="H320" s="9"/>
      <c r="I320" s="9"/>
      <c r="J320" s="9"/>
      <c r="K320" s="9"/>
      <c r="L320" s="9"/>
      <c r="M320" s="9"/>
      <c r="N320" s="9"/>
      <c r="O320" s="9"/>
      <c r="P320" s="2"/>
      <c r="Q320" s="2"/>
      <c r="R320" s="2"/>
      <c r="S320" s="2"/>
      <c r="T320" s="2"/>
      <c r="U320" s="2"/>
      <c r="V320" s="2"/>
      <c r="W320" s="2"/>
      <c r="X320" s="2"/>
      <c r="Y320" s="2"/>
      <c r="Z320" s="2"/>
      <c r="AA320" s="2"/>
      <c r="AB320" s="2"/>
    </row>
    <row r="321" spans="1:28" ht="15.75" customHeight="1">
      <c r="A321" s="2"/>
      <c r="B321" s="120"/>
      <c r="C321" s="2"/>
      <c r="D321" s="9"/>
      <c r="E321" s="9"/>
      <c r="F321" s="9"/>
      <c r="G321" s="9"/>
      <c r="H321" s="9"/>
      <c r="I321" s="9"/>
      <c r="J321" s="9"/>
      <c r="K321" s="9"/>
      <c r="L321" s="9"/>
      <c r="M321" s="9"/>
      <c r="N321" s="9"/>
      <c r="O321" s="9"/>
      <c r="P321" s="2"/>
      <c r="Q321" s="2"/>
      <c r="R321" s="2"/>
      <c r="S321" s="2"/>
      <c r="T321" s="2"/>
      <c r="U321" s="2"/>
      <c r="V321" s="2"/>
      <c r="W321" s="2"/>
      <c r="X321" s="2"/>
      <c r="Y321" s="2"/>
      <c r="Z321" s="2"/>
      <c r="AA321" s="2"/>
      <c r="AB321" s="2"/>
    </row>
    <row r="322" spans="1:28" ht="15.75" customHeight="1">
      <c r="A322" s="2"/>
      <c r="B322" s="120"/>
      <c r="C322" s="2"/>
      <c r="D322" s="9"/>
      <c r="E322" s="9"/>
      <c r="F322" s="9"/>
      <c r="G322" s="9"/>
      <c r="H322" s="9"/>
      <c r="I322" s="9"/>
      <c r="J322" s="9"/>
      <c r="K322" s="9"/>
      <c r="L322" s="9"/>
      <c r="M322" s="9"/>
      <c r="N322" s="9"/>
      <c r="O322" s="9"/>
      <c r="P322" s="2"/>
      <c r="Q322" s="2"/>
      <c r="R322" s="2"/>
      <c r="S322" s="2"/>
      <c r="T322" s="2"/>
      <c r="U322" s="2"/>
      <c r="V322" s="2"/>
      <c r="W322" s="2"/>
      <c r="X322" s="2"/>
      <c r="Y322" s="2"/>
      <c r="Z322" s="2"/>
      <c r="AA322" s="2"/>
      <c r="AB322" s="2"/>
    </row>
    <row r="323" spans="1:28" ht="15.75" customHeight="1">
      <c r="A323" s="2"/>
      <c r="B323" s="120"/>
      <c r="C323" s="2"/>
      <c r="D323" s="9"/>
      <c r="E323" s="9"/>
      <c r="F323" s="9"/>
      <c r="G323" s="9"/>
      <c r="H323" s="9"/>
      <c r="I323" s="9"/>
      <c r="J323" s="9"/>
      <c r="K323" s="9"/>
      <c r="L323" s="9"/>
      <c r="M323" s="9"/>
      <c r="N323" s="9"/>
      <c r="O323" s="9"/>
      <c r="P323" s="2"/>
      <c r="Q323" s="2"/>
      <c r="R323" s="2"/>
      <c r="S323" s="2"/>
      <c r="T323" s="2"/>
      <c r="U323" s="2"/>
      <c r="V323" s="2"/>
      <c r="W323" s="2"/>
      <c r="X323" s="2"/>
      <c r="Y323" s="2"/>
      <c r="Z323" s="2"/>
      <c r="AA323" s="2"/>
      <c r="AB323" s="2"/>
    </row>
    <row r="324" spans="1:28" ht="15.75" customHeight="1">
      <c r="A324" s="2"/>
      <c r="B324" s="120"/>
      <c r="C324" s="2"/>
      <c r="D324" s="9"/>
      <c r="E324" s="9"/>
      <c r="F324" s="9"/>
      <c r="G324" s="9"/>
      <c r="H324" s="9"/>
      <c r="I324" s="9"/>
      <c r="J324" s="9"/>
      <c r="K324" s="9"/>
      <c r="L324" s="9"/>
      <c r="M324" s="9"/>
      <c r="N324" s="9"/>
      <c r="O324" s="9"/>
      <c r="P324" s="2"/>
      <c r="Q324" s="2"/>
      <c r="R324" s="2"/>
      <c r="S324" s="2"/>
      <c r="T324" s="2"/>
      <c r="U324" s="2"/>
      <c r="V324" s="2"/>
      <c r="W324" s="2"/>
      <c r="X324" s="2"/>
      <c r="Y324" s="2"/>
      <c r="Z324" s="2"/>
      <c r="AA324" s="2"/>
      <c r="AB324" s="2"/>
    </row>
    <row r="325" spans="1:28" ht="15.75" customHeight="1">
      <c r="A325" s="2"/>
      <c r="B325" s="120"/>
      <c r="C325" s="2"/>
      <c r="D325" s="9"/>
      <c r="E325" s="9"/>
      <c r="F325" s="9"/>
      <c r="G325" s="9"/>
      <c r="H325" s="9"/>
      <c r="I325" s="9"/>
      <c r="J325" s="9"/>
      <c r="K325" s="9"/>
      <c r="L325" s="9"/>
      <c r="M325" s="9"/>
      <c r="N325" s="9"/>
      <c r="O325" s="9"/>
      <c r="P325" s="2"/>
      <c r="Q325" s="2"/>
      <c r="R325" s="2"/>
      <c r="S325" s="2"/>
      <c r="T325" s="2"/>
      <c r="U325" s="2"/>
      <c r="V325" s="2"/>
      <c r="W325" s="2"/>
      <c r="X325" s="2"/>
      <c r="Y325" s="2"/>
      <c r="Z325" s="2"/>
      <c r="AA325" s="2"/>
      <c r="AB325" s="2"/>
    </row>
    <row r="326" spans="1:28" ht="15.75" customHeight="1">
      <c r="A326" s="2"/>
      <c r="B326" s="120"/>
      <c r="C326" s="2"/>
      <c r="D326" s="9"/>
      <c r="E326" s="9"/>
      <c r="F326" s="9"/>
      <c r="G326" s="9"/>
      <c r="H326" s="9"/>
      <c r="I326" s="9"/>
      <c r="J326" s="9"/>
      <c r="K326" s="9"/>
      <c r="L326" s="9"/>
      <c r="M326" s="9"/>
      <c r="N326" s="9"/>
      <c r="O326" s="9"/>
      <c r="P326" s="2"/>
      <c r="Q326" s="2"/>
      <c r="R326" s="2"/>
      <c r="S326" s="2"/>
      <c r="T326" s="2"/>
      <c r="U326" s="2"/>
      <c r="V326" s="2"/>
      <c r="W326" s="2"/>
      <c r="X326" s="2"/>
      <c r="Y326" s="2"/>
      <c r="Z326" s="2"/>
      <c r="AA326" s="2"/>
      <c r="AB326" s="2"/>
    </row>
    <row r="327" spans="1:28" ht="15.75" customHeight="1">
      <c r="A327" s="2"/>
      <c r="B327" s="120"/>
      <c r="C327" s="2"/>
      <c r="D327" s="9"/>
      <c r="E327" s="9"/>
      <c r="F327" s="9"/>
      <c r="G327" s="9"/>
      <c r="H327" s="9"/>
      <c r="I327" s="9"/>
      <c r="J327" s="9"/>
      <c r="K327" s="9"/>
      <c r="L327" s="9"/>
      <c r="M327" s="9"/>
      <c r="N327" s="9"/>
      <c r="O327" s="9"/>
      <c r="P327" s="2"/>
      <c r="Q327" s="2"/>
      <c r="R327" s="2"/>
      <c r="S327" s="2"/>
      <c r="T327" s="2"/>
      <c r="U327" s="2"/>
      <c r="V327" s="2"/>
      <c r="W327" s="2"/>
      <c r="X327" s="2"/>
      <c r="Y327" s="2"/>
      <c r="Z327" s="2"/>
      <c r="AA327" s="2"/>
      <c r="AB327" s="2"/>
    </row>
    <row r="328" spans="1:28" ht="15.75" customHeight="1">
      <c r="A328" s="2"/>
      <c r="B328" s="120"/>
      <c r="C328" s="2"/>
      <c r="D328" s="9"/>
      <c r="E328" s="9"/>
      <c r="F328" s="9"/>
      <c r="G328" s="9"/>
      <c r="H328" s="9"/>
      <c r="I328" s="9"/>
      <c r="J328" s="9"/>
      <c r="K328" s="9"/>
      <c r="L328" s="9"/>
      <c r="M328" s="9"/>
      <c r="N328" s="9"/>
      <c r="O328" s="9"/>
      <c r="P328" s="2"/>
      <c r="Q328" s="2"/>
      <c r="R328" s="2"/>
      <c r="S328" s="2"/>
      <c r="T328" s="2"/>
      <c r="U328" s="2"/>
      <c r="V328" s="2"/>
      <c r="W328" s="2"/>
      <c r="X328" s="2"/>
      <c r="Y328" s="2"/>
      <c r="Z328" s="2"/>
      <c r="AA328" s="2"/>
      <c r="AB328" s="2"/>
    </row>
    <row r="329" spans="1:28" ht="15.75" customHeight="1">
      <c r="A329" s="2"/>
      <c r="B329" s="120"/>
      <c r="C329" s="2"/>
      <c r="D329" s="9"/>
      <c r="E329" s="9"/>
      <c r="F329" s="9"/>
      <c r="G329" s="9"/>
      <c r="H329" s="9"/>
      <c r="I329" s="9"/>
      <c r="J329" s="9"/>
      <c r="K329" s="9"/>
      <c r="L329" s="9"/>
      <c r="M329" s="9"/>
      <c r="N329" s="9"/>
      <c r="O329" s="9"/>
      <c r="P329" s="2"/>
      <c r="Q329" s="2"/>
      <c r="R329" s="2"/>
      <c r="S329" s="2"/>
      <c r="T329" s="2"/>
      <c r="U329" s="2"/>
      <c r="V329" s="2"/>
      <c r="W329" s="2"/>
      <c r="X329" s="2"/>
      <c r="Y329" s="2"/>
      <c r="Z329" s="2"/>
      <c r="AA329" s="2"/>
      <c r="AB329" s="2"/>
    </row>
    <row r="330" spans="1:28" ht="15.75" customHeight="1">
      <c r="A330" s="2"/>
      <c r="B330" s="120"/>
      <c r="C330" s="2"/>
      <c r="D330" s="9"/>
      <c r="E330" s="9"/>
      <c r="F330" s="9"/>
      <c r="G330" s="9"/>
      <c r="H330" s="9"/>
      <c r="I330" s="9"/>
      <c r="J330" s="9"/>
      <c r="K330" s="9"/>
      <c r="L330" s="9"/>
      <c r="M330" s="9"/>
      <c r="N330" s="9"/>
      <c r="O330" s="9"/>
      <c r="P330" s="2"/>
      <c r="Q330" s="2"/>
      <c r="R330" s="2"/>
      <c r="S330" s="2"/>
      <c r="T330" s="2"/>
      <c r="U330" s="2"/>
      <c r="V330" s="2"/>
      <c r="W330" s="2"/>
      <c r="X330" s="2"/>
      <c r="Y330" s="2"/>
      <c r="Z330" s="2"/>
      <c r="AA330" s="2"/>
      <c r="AB330" s="2"/>
    </row>
    <row r="331" spans="1:28" ht="15.75" customHeight="1">
      <c r="A331" s="2"/>
      <c r="B331" s="120"/>
      <c r="C331" s="2"/>
      <c r="D331" s="9"/>
      <c r="E331" s="9"/>
      <c r="F331" s="9"/>
      <c r="G331" s="9"/>
      <c r="H331" s="9"/>
      <c r="I331" s="9"/>
      <c r="J331" s="9"/>
      <c r="K331" s="9"/>
      <c r="L331" s="9"/>
      <c r="M331" s="9"/>
      <c r="N331" s="9"/>
      <c r="O331" s="9"/>
      <c r="P331" s="2"/>
      <c r="Q331" s="2"/>
      <c r="R331" s="2"/>
      <c r="S331" s="2"/>
      <c r="T331" s="2"/>
      <c r="U331" s="2"/>
      <c r="V331" s="2"/>
      <c r="W331" s="2"/>
      <c r="X331" s="2"/>
      <c r="Y331" s="2"/>
      <c r="Z331" s="2"/>
      <c r="AA331" s="2"/>
      <c r="AB331" s="2"/>
    </row>
    <row r="332" spans="1:28" ht="15.75" customHeight="1">
      <c r="A332" s="2"/>
      <c r="B332" s="120"/>
      <c r="C332" s="2"/>
      <c r="D332" s="9"/>
      <c r="E332" s="9"/>
      <c r="F332" s="9"/>
      <c r="G332" s="9"/>
      <c r="H332" s="9"/>
      <c r="I332" s="9"/>
      <c r="J332" s="9"/>
      <c r="K332" s="9"/>
      <c r="L332" s="9"/>
      <c r="M332" s="9"/>
      <c r="N332" s="9"/>
      <c r="O332" s="9"/>
      <c r="P332" s="2"/>
      <c r="Q332" s="2"/>
      <c r="R332" s="2"/>
      <c r="S332" s="2"/>
      <c r="T332" s="2"/>
      <c r="U332" s="2"/>
      <c r="V332" s="2"/>
      <c r="W332" s="2"/>
      <c r="X332" s="2"/>
      <c r="Y332" s="2"/>
      <c r="Z332" s="2"/>
      <c r="AA332" s="2"/>
      <c r="AB332" s="2"/>
    </row>
    <row r="333" spans="1:28" ht="15.75" customHeight="1">
      <c r="A333" s="2"/>
      <c r="B333" s="120"/>
      <c r="C333" s="2"/>
      <c r="D333" s="9"/>
      <c r="E333" s="9"/>
      <c r="F333" s="9"/>
      <c r="G333" s="9"/>
      <c r="H333" s="9"/>
      <c r="I333" s="9"/>
      <c r="J333" s="9"/>
      <c r="K333" s="9"/>
      <c r="L333" s="9"/>
      <c r="M333" s="9"/>
      <c r="N333" s="9"/>
      <c r="O333" s="9"/>
      <c r="P333" s="2"/>
      <c r="Q333" s="2"/>
      <c r="R333" s="2"/>
      <c r="S333" s="2"/>
      <c r="T333" s="2"/>
      <c r="U333" s="2"/>
      <c r="V333" s="2"/>
      <c r="W333" s="2"/>
      <c r="X333" s="2"/>
      <c r="Y333" s="2"/>
      <c r="Z333" s="2"/>
      <c r="AA333" s="2"/>
      <c r="AB333" s="2"/>
    </row>
    <row r="334" spans="1:28" ht="15.75" customHeight="1">
      <c r="A334" s="2"/>
      <c r="B334" s="120"/>
      <c r="C334" s="2"/>
      <c r="D334" s="9"/>
      <c r="E334" s="9"/>
      <c r="F334" s="9"/>
      <c r="G334" s="9"/>
      <c r="H334" s="9"/>
      <c r="I334" s="9"/>
      <c r="J334" s="9"/>
      <c r="K334" s="9"/>
      <c r="L334" s="9"/>
      <c r="M334" s="9"/>
      <c r="N334" s="9"/>
      <c r="O334" s="9"/>
      <c r="P334" s="2"/>
      <c r="Q334" s="2"/>
      <c r="R334" s="2"/>
      <c r="S334" s="2"/>
      <c r="T334" s="2"/>
      <c r="U334" s="2"/>
      <c r="V334" s="2"/>
      <c r="W334" s="2"/>
      <c r="X334" s="2"/>
      <c r="Y334" s="2"/>
      <c r="Z334" s="2"/>
      <c r="AA334" s="2"/>
      <c r="AB334" s="2"/>
    </row>
    <row r="335" spans="1:28" ht="15.75" customHeight="1">
      <c r="A335" s="2"/>
      <c r="B335" s="120"/>
      <c r="C335" s="2"/>
      <c r="D335" s="9"/>
      <c r="E335" s="9"/>
      <c r="F335" s="9"/>
      <c r="G335" s="9"/>
      <c r="H335" s="9"/>
      <c r="I335" s="9"/>
      <c r="J335" s="9"/>
      <c r="K335" s="9"/>
      <c r="L335" s="9"/>
      <c r="M335" s="9"/>
      <c r="N335" s="9"/>
      <c r="O335" s="9"/>
      <c r="P335" s="2"/>
      <c r="Q335" s="2"/>
      <c r="R335" s="2"/>
      <c r="S335" s="2"/>
      <c r="T335" s="2"/>
      <c r="U335" s="2"/>
      <c r="V335" s="2"/>
      <c r="W335" s="2"/>
      <c r="X335" s="2"/>
      <c r="Y335" s="2"/>
      <c r="Z335" s="2"/>
      <c r="AA335" s="2"/>
      <c r="AB335" s="2"/>
    </row>
    <row r="336" spans="1:28" ht="15.75" customHeight="1">
      <c r="A336" s="2"/>
      <c r="B336" s="120"/>
      <c r="C336" s="2"/>
      <c r="D336" s="9"/>
      <c r="E336" s="9"/>
      <c r="F336" s="9"/>
      <c r="G336" s="9"/>
      <c r="H336" s="9"/>
      <c r="I336" s="9"/>
      <c r="J336" s="9"/>
      <c r="K336" s="9"/>
      <c r="L336" s="9"/>
      <c r="M336" s="9"/>
      <c r="N336" s="9"/>
      <c r="O336" s="9"/>
      <c r="P336" s="2"/>
      <c r="Q336" s="2"/>
      <c r="R336" s="2"/>
      <c r="S336" s="2"/>
      <c r="T336" s="2"/>
      <c r="U336" s="2"/>
      <c r="V336" s="2"/>
      <c r="W336" s="2"/>
      <c r="X336" s="2"/>
      <c r="Y336" s="2"/>
      <c r="Z336" s="2"/>
      <c r="AA336" s="2"/>
      <c r="AB336" s="2"/>
    </row>
    <row r="337" spans="1:28" ht="15.75" customHeight="1">
      <c r="A337" s="2"/>
      <c r="B337" s="120"/>
      <c r="C337" s="2"/>
      <c r="D337" s="9"/>
      <c r="E337" s="9"/>
      <c r="F337" s="9"/>
      <c r="G337" s="9"/>
      <c r="H337" s="9"/>
      <c r="I337" s="9"/>
      <c r="J337" s="9"/>
      <c r="K337" s="9"/>
      <c r="L337" s="9"/>
      <c r="M337" s="9"/>
      <c r="N337" s="9"/>
      <c r="O337" s="9"/>
      <c r="P337" s="2"/>
      <c r="Q337" s="2"/>
      <c r="R337" s="2"/>
      <c r="S337" s="2"/>
      <c r="T337" s="2"/>
      <c r="U337" s="2"/>
      <c r="V337" s="2"/>
      <c r="W337" s="2"/>
      <c r="X337" s="2"/>
      <c r="Y337" s="2"/>
      <c r="Z337" s="2"/>
      <c r="AA337" s="2"/>
      <c r="AB337" s="2"/>
    </row>
    <row r="338" spans="1:28" ht="15.75" customHeight="1">
      <c r="A338" s="2"/>
      <c r="B338" s="120"/>
      <c r="C338" s="2"/>
      <c r="D338" s="9"/>
      <c r="E338" s="9"/>
      <c r="F338" s="9"/>
      <c r="G338" s="9"/>
      <c r="H338" s="9"/>
      <c r="I338" s="9"/>
      <c r="J338" s="9"/>
      <c r="K338" s="9"/>
      <c r="L338" s="9"/>
      <c r="M338" s="9"/>
      <c r="N338" s="9"/>
      <c r="O338" s="9"/>
      <c r="P338" s="2"/>
      <c r="Q338" s="2"/>
      <c r="R338" s="2"/>
      <c r="S338" s="2"/>
      <c r="T338" s="2"/>
      <c r="U338" s="2"/>
      <c r="V338" s="2"/>
      <c r="W338" s="2"/>
      <c r="X338" s="2"/>
      <c r="Y338" s="2"/>
      <c r="Z338" s="2"/>
      <c r="AA338" s="2"/>
      <c r="AB338" s="2"/>
    </row>
    <row r="339" spans="1:28" ht="15.75" customHeight="1">
      <c r="A339" s="2"/>
      <c r="B339" s="120"/>
      <c r="C339" s="2"/>
      <c r="D339" s="9"/>
      <c r="E339" s="9"/>
      <c r="F339" s="9"/>
      <c r="G339" s="9"/>
      <c r="H339" s="9"/>
      <c r="I339" s="9"/>
      <c r="J339" s="9"/>
      <c r="K339" s="9"/>
      <c r="L339" s="9"/>
      <c r="M339" s="9"/>
      <c r="N339" s="9"/>
      <c r="O339" s="9"/>
      <c r="P339" s="2"/>
      <c r="Q339" s="2"/>
      <c r="R339" s="2"/>
      <c r="S339" s="2"/>
      <c r="T339" s="2"/>
      <c r="U339" s="2"/>
      <c r="V339" s="2"/>
      <c r="W339" s="2"/>
      <c r="X339" s="2"/>
      <c r="Y339" s="2"/>
      <c r="Z339" s="2"/>
      <c r="AA339" s="2"/>
      <c r="AB339" s="2"/>
    </row>
    <row r="340" spans="1:28" ht="15.75" customHeight="1">
      <c r="A340" s="2"/>
      <c r="B340" s="120"/>
      <c r="C340" s="2"/>
      <c r="D340" s="9"/>
      <c r="E340" s="9"/>
      <c r="F340" s="9"/>
      <c r="G340" s="9"/>
      <c r="H340" s="9"/>
      <c r="I340" s="9"/>
      <c r="J340" s="9"/>
      <c r="K340" s="9"/>
      <c r="L340" s="9"/>
      <c r="M340" s="9"/>
      <c r="N340" s="9"/>
      <c r="O340" s="9"/>
      <c r="P340" s="2"/>
      <c r="Q340" s="2"/>
      <c r="R340" s="2"/>
      <c r="S340" s="2"/>
      <c r="T340" s="2"/>
      <c r="U340" s="2"/>
      <c r="V340" s="2"/>
      <c r="W340" s="2"/>
      <c r="X340" s="2"/>
      <c r="Y340" s="2"/>
      <c r="Z340" s="2"/>
      <c r="AA340" s="2"/>
      <c r="AB340" s="2"/>
    </row>
    <row r="341" spans="1:28" ht="15.75" customHeight="1">
      <c r="A341" s="2"/>
      <c r="B341" s="120"/>
      <c r="C341" s="2"/>
      <c r="D341" s="9"/>
      <c r="E341" s="9"/>
      <c r="F341" s="9"/>
      <c r="G341" s="9"/>
      <c r="H341" s="9"/>
      <c r="I341" s="9"/>
      <c r="J341" s="9"/>
      <c r="K341" s="9"/>
      <c r="L341" s="9"/>
      <c r="M341" s="9"/>
      <c r="N341" s="9"/>
      <c r="O341" s="9"/>
      <c r="P341" s="2"/>
      <c r="Q341" s="2"/>
      <c r="R341" s="2"/>
      <c r="S341" s="2"/>
      <c r="T341" s="2"/>
      <c r="U341" s="2"/>
      <c r="V341" s="2"/>
      <c r="W341" s="2"/>
      <c r="X341" s="2"/>
      <c r="Y341" s="2"/>
      <c r="Z341" s="2"/>
      <c r="AA341" s="2"/>
      <c r="AB341" s="2"/>
    </row>
    <row r="342" spans="1:28" ht="15.75" customHeight="1">
      <c r="A342" s="2"/>
      <c r="B342" s="120"/>
      <c r="C342" s="2"/>
      <c r="D342" s="9"/>
      <c r="E342" s="9"/>
      <c r="F342" s="9"/>
      <c r="G342" s="9"/>
      <c r="H342" s="9"/>
      <c r="I342" s="9"/>
      <c r="J342" s="9"/>
      <c r="K342" s="9"/>
      <c r="L342" s="9"/>
      <c r="M342" s="9"/>
      <c r="N342" s="9"/>
      <c r="O342" s="9"/>
      <c r="P342" s="2"/>
      <c r="Q342" s="2"/>
      <c r="R342" s="2"/>
      <c r="S342" s="2"/>
      <c r="T342" s="2"/>
      <c r="U342" s="2"/>
      <c r="V342" s="2"/>
      <c r="W342" s="2"/>
      <c r="X342" s="2"/>
      <c r="Y342" s="2"/>
      <c r="Z342" s="2"/>
      <c r="AA342" s="2"/>
      <c r="AB342" s="2"/>
    </row>
    <row r="343" spans="1:28" ht="15.75" customHeight="1">
      <c r="A343" s="2"/>
      <c r="B343" s="120"/>
      <c r="C343" s="2"/>
      <c r="D343" s="9"/>
      <c r="E343" s="9"/>
      <c r="F343" s="9"/>
      <c r="G343" s="9"/>
      <c r="H343" s="9"/>
      <c r="I343" s="9"/>
      <c r="J343" s="9"/>
      <c r="K343" s="9"/>
      <c r="L343" s="9"/>
      <c r="M343" s="9"/>
      <c r="N343" s="9"/>
      <c r="O343" s="9"/>
      <c r="P343" s="2"/>
      <c r="Q343" s="2"/>
      <c r="R343" s="2"/>
      <c r="S343" s="2"/>
      <c r="T343" s="2"/>
      <c r="U343" s="2"/>
      <c r="V343" s="2"/>
      <c r="W343" s="2"/>
      <c r="X343" s="2"/>
      <c r="Y343" s="2"/>
      <c r="Z343" s="2"/>
      <c r="AA343" s="2"/>
      <c r="AB343" s="2"/>
    </row>
    <row r="344" spans="1:28" ht="15.75" customHeight="1">
      <c r="A344" s="2"/>
      <c r="B344" s="120"/>
      <c r="C344" s="2"/>
      <c r="D344" s="9"/>
      <c r="E344" s="9"/>
      <c r="F344" s="9"/>
      <c r="G344" s="9"/>
      <c r="H344" s="9"/>
      <c r="I344" s="9"/>
      <c r="J344" s="9"/>
      <c r="K344" s="9"/>
      <c r="L344" s="9"/>
      <c r="M344" s="9"/>
      <c r="N344" s="9"/>
      <c r="O344" s="9"/>
      <c r="P344" s="2"/>
      <c r="Q344" s="2"/>
      <c r="R344" s="2"/>
      <c r="S344" s="2"/>
      <c r="T344" s="2"/>
      <c r="U344" s="2"/>
      <c r="V344" s="2"/>
      <c r="W344" s="2"/>
      <c r="X344" s="2"/>
      <c r="Y344" s="2"/>
      <c r="Z344" s="2"/>
      <c r="AA344" s="2"/>
      <c r="AB344" s="2"/>
    </row>
    <row r="345" spans="1:28" ht="15.75" customHeight="1">
      <c r="A345" s="2"/>
      <c r="B345" s="120"/>
      <c r="C345" s="2"/>
      <c r="D345" s="9"/>
      <c r="E345" s="9"/>
      <c r="F345" s="9"/>
      <c r="G345" s="9"/>
      <c r="H345" s="9"/>
      <c r="I345" s="9"/>
      <c r="J345" s="9"/>
      <c r="K345" s="9"/>
      <c r="L345" s="9"/>
      <c r="M345" s="9"/>
      <c r="N345" s="9"/>
      <c r="O345" s="9"/>
      <c r="P345" s="2"/>
      <c r="Q345" s="2"/>
      <c r="R345" s="2"/>
      <c r="S345" s="2"/>
      <c r="T345" s="2"/>
      <c r="U345" s="2"/>
      <c r="V345" s="2"/>
      <c r="W345" s="2"/>
      <c r="X345" s="2"/>
      <c r="Y345" s="2"/>
      <c r="Z345" s="2"/>
      <c r="AA345" s="2"/>
      <c r="AB345" s="2"/>
    </row>
    <row r="346" spans="1:28" ht="15.75" customHeight="1">
      <c r="A346" s="2"/>
      <c r="B346" s="120"/>
      <c r="C346" s="2"/>
      <c r="D346" s="9"/>
      <c r="E346" s="9"/>
      <c r="F346" s="9"/>
      <c r="G346" s="9"/>
      <c r="H346" s="9"/>
      <c r="I346" s="9"/>
      <c r="J346" s="9"/>
      <c r="K346" s="9"/>
      <c r="L346" s="9"/>
      <c r="M346" s="9"/>
      <c r="N346" s="9"/>
      <c r="O346" s="9"/>
      <c r="P346" s="2"/>
      <c r="Q346" s="2"/>
      <c r="R346" s="2"/>
      <c r="S346" s="2"/>
      <c r="T346" s="2"/>
      <c r="U346" s="2"/>
      <c r="V346" s="2"/>
      <c r="W346" s="2"/>
      <c r="X346" s="2"/>
      <c r="Y346" s="2"/>
      <c r="Z346" s="2"/>
      <c r="AA346" s="2"/>
      <c r="AB346" s="2"/>
    </row>
    <row r="347" spans="1:28" ht="15.75" customHeight="1">
      <c r="A347" s="2"/>
      <c r="B347" s="120"/>
      <c r="C347" s="2"/>
      <c r="D347" s="9"/>
      <c r="E347" s="9"/>
      <c r="F347" s="9"/>
      <c r="G347" s="9"/>
      <c r="H347" s="9"/>
      <c r="I347" s="9"/>
      <c r="J347" s="9"/>
      <c r="K347" s="9"/>
      <c r="L347" s="9"/>
      <c r="M347" s="9"/>
      <c r="N347" s="9"/>
      <c r="O347" s="9"/>
      <c r="P347" s="2"/>
      <c r="Q347" s="2"/>
      <c r="R347" s="2"/>
      <c r="S347" s="2"/>
      <c r="T347" s="2"/>
      <c r="U347" s="2"/>
      <c r="V347" s="2"/>
      <c r="W347" s="2"/>
      <c r="X347" s="2"/>
      <c r="Y347" s="2"/>
      <c r="Z347" s="2"/>
      <c r="AA347" s="2"/>
      <c r="AB347" s="2"/>
    </row>
    <row r="348" spans="1:28" ht="15.75" customHeight="1">
      <c r="A348" s="2"/>
      <c r="B348" s="120"/>
      <c r="C348" s="2"/>
      <c r="D348" s="9"/>
      <c r="E348" s="9"/>
      <c r="F348" s="9"/>
      <c r="G348" s="9"/>
      <c r="H348" s="9"/>
      <c r="I348" s="9"/>
      <c r="J348" s="9"/>
      <c r="K348" s="9"/>
      <c r="L348" s="9"/>
      <c r="M348" s="9"/>
      <c r="N348" s="9"/>
      <c r="O348" s="9"/>
      <c r="P348" s="2"/>
      <c r="Q348" s="2"/>
      <c r="R348" s="2"/>
      <c r="S348" s="2"/>
      <c r="T348" s="2"/>
      <c r="U348" s="2"/>
      <c r="V348" s="2"/>
      <c r="W348" s="2"/>
      <c r="X348" s="2"/>
      <c r="Y348" s="2"/>
      <c r="Z348" s="2"/>
      <c r="AA348" s="2"/>
      <c r="AB348" s="2"/>
    </row>
    <row r="349" spans="1:28" ht="15.75" customHeight="1">
      <c r="A349" s="2"/>
      <c r="B349" s="120"/>
      <c r="C349" s="2"/>
      <c r="D349" s="9"/>
      <c r="E349" s="9"/>
      <c r="F349" s="9"/>
      <c r="G349" s="9"/>
      <c r="H349" s="9"/>
      <c r="I349" s="9"/>
      <c r="J349" s="9"/>
      <c r="K349" s="9"/>
      <c r="L349" s="9"/>
      <c r="M349" s="9"/>
      <c r="N349" s="9"/>
      <c r="O349" s="9"/>
      <c r="P349" s="2"/>
      <c r="Q349" s="2"/>
      <c r="R349" s="2"/>
      <c r="S349" s="2"/>
      <c r="T349" s="2"/>
      <c r="U349" s="2"/>
      <c r="V349" s="2"/>
      <c r="W349" s="2"/>
      <c r="X349" s="2"/>
      <c r="Y349" s="2"/>
      <c r="Z349" s="2"/>
      <c r="AA349" s="2"/>
      <c r="AB349" s="2"/>
    </row>
    <row r="350" spans="1:28" ht="15.75" customHeight="1">
      <c r="A350" s="2"/>
      <c r="B350" s="120"/>
      <c r="C350" s="2"/>
      <c r="D350" s="9"/>
      <c r="E350" s="9"/>
      <c r="F350" s="9"/>
      <c r="G350" s="9"/>
      <c r="H350" s="9"/>
      <c r="I350" s="9"/>
      <c r="J350" s="9"/>
      <c r="K350" s="9"/>
      <c r="L350" s="9"/>
      <c r="M350" s="9"/>
      <c r="N350" s="9"/>
      <c r="O350" s="9"/>
      <c r="P350" s="2"/>
      <c r="Q350" s="2"/>
      <c r="R350" s="2"/>
      <c r="S350" s="2"/>
      <c r="T350" s="2"/>
      <c r="U350" s="2"/>
      <c r="V350" s="2"/>
      <c r="W350" s="2"/>
      <c r="X350" s="2"/>
      <c r="Y350" s="2"/>
      <c r="Z350" s="2"/>
      <c r="AA350" s="2"/>
      <c r="AB350" s="2"/>
    </row>
    <row r="351" spans="1:28" ht="15.75" customHeight="1">
      <c r="A351" s="2"/>
      <c r="B351" s="120"/>
      <c r="C351" s="2"/>
      <c r="D351" s="9"/>
      <c r="E351" s="9"/>
      <c r="F351" s="9"/>
      <c r="G351" s="9"/>
      <c r="H351" s="9"/>
      <c r="I351" s="9"/>
      <c r="J351" s="9"/>
      <c r="K351" s="9"/>
      <c r="L351" s="9"/>
      <c r="M351" s="9"/>
      <c r="N351" s="9"/>
      <c r="O351" s="9"/>
      <c r="P351" s="2"/>
      <c r="Q351" s="2"/>
      <c r="R351" s="2"/>
      <c r="S351" s="2"/>
      <c r="T351" s="2"/>
      <c r="U351" s="2"/>
      <c r="V351" s="2"/>
      <c r="W351" s="2"/>
      <c r="X351" s="2"/>
      <c r="Y351" s="2"/>
      <c r="Z351" s="2"/>
      <c r="AA351" s="2"/>
      <c r="AB351" s="2"/>
    </row>
    <row r="352" spans="1:28" ht="15.75" customHeight="1">
      <c r="A352" s="2"/>
      <c r="B352" s="120"/>
      <c r="C352" s="2"/>
      <c r="D352" s="9"/>
      <c r="E352" s="9"/>
      <c r="F352" s="9"/>
      <c r="G352" s="9"/>
      <c r="H352" s="9"/>
      <c r="I352" s="9"/>
      <c r="J352" s="9"/>
      <c r="K352" s="9"/>
      <c r="L352" s="9"/>
      <c r="M352" s="9"/>
      <c r="N352" s="9"/>
      <c r="O352" s="9"/>
      <c r="P352" s="2"/>
      <c r="Q352" s="2"/>
      <c r="R352" s="2"/>
      <c r="S352" s="2"/>
      <c r="T352" s="2"/>
      <c r="U352" s="2"/>
      <c r="V352" s="2"/>
      <c r="W352" s="2"/>
      <c r="X352" s="2"/>
      <c r="Y352" s="2"/>
      <c r="Z352" s="2"/>
      <c r="AA352" s="2"/>
      <c r="AB352" s="2"/>
    </row>
    <row r="353" spans="1:28" ht="15.75" customHeight="1">
      <c r="A353" s="2"/>
      <c r="B353" s="120"/>
      <c r="C353" s="2"/>
      <c r="D353" s="9"/>
      <c r="E353" s="9"/>
      <c r="F353" s="9"/>
      <c r="G353" s="9"/>
      <c r="H353" s="9"/>
      <c r="I353" s="9"/>
      <c r="J353" s="9"/>
      <c r="K353" s="9"/>
      <c r="L353" s="9"/>
      <c r="M353" s="9"/>
      <c r="N353" s="9"/>
      <c r="O353" s="9"/>
      <c r="P353" s="2"/>
      <c r="Q353" s="2"/>
      <c r="R353" s="2"/>
      <c r="S353" s="2"/>
      <c r="T353" s="2"/>
      <c r="U353" s="2"/>
      <c r="V353" s="2"/>
      <c r="W353" s="2"/>
      <c r="X353" s="2"/>
      <c r="Y353" s="2"/>
      <c r="Z353" s="2"/>
      <c r="AA353" s="2"/>
      <c r="AB353" s="2"/>
    </row>
    <row r="354" spans="1:28" ht="15.75" customHeight="1">
      <c r="A354" s="2"/>
      <c r="B354" s="120"/>
      <c r="C354" s="2"/>
      <c r="D354" s="9"/>
      <c r="E354" s="9"/>
      <c r="F354" s="9"/>
      <c r="G354" s="9"/>
      <c r="H354" s="9"/>
      <c r="I354" s="9"/>
      <c r="J354" s="9"/>
      <c r="K354" s="9"/>
      <c r="L354" s="9"/>
      <c r="M354" s="9"/>
      <c r="N354" s="9"/>
      <c r="O354" s="9"/>
      <c r="P354" s="2"/>
      <c r="Q354" s="2"/>
      <c r="R354" s="2"/>
      <c r="S354" s="2"/>
      <c r="T354" s="2"/>
      <c r="U354" s="2"/>
      <c r="V354" s="2"/>
      <c r="W354" s="2"/>
      <c r="X354" s="2"/>
      <c r="Y354" s="2"/>
      <c r="Z354" s="2"/>
      <c r="AA354" s="2"/>
      <c r="AB354" s="2"/>
    </row>
    <row r="355" spans="1:28" ht="15.75" customHeight="1">
      <c r="A355" s="2"/>
      <c r="B355" s="120"/>
      <c r="C355" s="2"/>
      <c r="D355" s="9"/>
      <c r="E355" s="9"/>
      <c r="F355" s="9"/>
      <c r="G355" s="9"/>
      <c r="H355" s="9"/>
      <c r="I355" s="9"/>
      <c r="J355" s="9"/>
      <c r="K355" s="9"/>
      <c r="L355" s="9"/>
      <c r="M355" s="9"/>
      <c r="N355" s="9"/>
      <c r="O355" s="9"/>
      <c r="P355" s="2"/>
      <c r="Q355" s="2"/>
      <c r="R355" s="2"/>
      <c r="S355" s="2"/>
      <c r="T355" s="2"/>
      <c r="U355" s="2"/>
      <c r="V355" s="2"/>
      <c r="W355" s="2"/>
      <c r="X355" s="2"/>
      <c r="Y355" s="2"/>
      <c r="Z355" s="2"/>
      <c r="AA355" s="2"/>
      <c r="AB355" s="2"/>
    </row>
    <row r="356" spans="1:28" ht="15.75" customHeight="1">
      <c r="A356" s="2"/>
      <c r="B356" s="120"/>
      <c r="C356" s="2"/>
      <c r="D356" s="9"/>
      <c r="E356" s="9"/>
      <c r="F356" s="9"/>
      <c r="G356" s="9"/>
      <c r="H356" s="9"/>
      <c r="I356" s="9"/>
      <c r="J356" s="9"/>
      <c r="K356" s="9"/>
      <c r="L356" s="9"/>
      <c r="M356" s="9"/>
      <c r="N356" s="9"/>
      <c r="O356" s="9"/>
      <c r="P356" s="2"/>
      <c r="Q356" s="2"/>
      <c r="R356" s="2"/>
      <c r="S356" s="2"/>
      <c r="T356" s="2"/>
      <c r="U356" s="2"/>
      <c r="V356" s="2"/>
      <c r="W356" s="2"/>
      <c r="X356" s="2"/>
      <c r="Y356" s="2"/>
      <c r="Z356" s="2"/>
      <c r="AA356" s="2"/>
      <c r="AB356" s="2"/>
    </row>
    <row r="357" spans="1:28" ht="15.75" customHeight="1">
      <c r="A357" s="2"/>
      <c r="B357" s="120"/>
      <c r="C357" s="2"/>
      <c r="D357" s="9"/>
      <c r="E357" s="9"/>
      <c r="F357" s="9"/>
      <c r="G357" s="9"/>
      <c r="H357" s="9"/>
      <c r="I357" s="9"/>
      <c r="J357" s="9"/>
      <c r="K357" s="9"/>
      <c r="L357" s="9"/>
      <c r="M357" s="9"/>
      <c r="N357" s="9"/>
      <c r="O357" s="9"/>
      <c r="P357" s="2"/>
      <c r="Q357" s="2"/>
      <c r="R357" s="2"/>
      <c r="S357" s="2"/>
      <c r="T357" s="2"/>
      <c r="U357" s="2"/>
      <c r="V357" s="2"/>
      <c r="W357" s="2"/>
      <c r="X357" s="2"/>
      <c r="Y357" s="2"/>
      <c r="Z357" s="2"/>
      <c r="AA357" s="2"/>
      <c r="AB357" s="2"/>
    </row>
    <row r="358" spans="1:28" ht="15.75" customHeight="1">
      <c r="A358" s="2"/>
      <c r="B358" s="120"/>
      <c r="C358" s="2"/>
      <c r="D358" s="9"/>
      <c r="E358" s="9"/>
      <c r="F358" s="9"/>
      <c r="G358" s="9"/>
      <c r="H358" s="9"/>
      <c r="I358" s="9"/>
      <c r="J358" s="9"/>
      <c r="K358" s="9"/>
      <c r="L358" s="9"/>
      <c r="M358" s="9"/>
      <c r="N358" s="9"/>
      <c r="O358" s="9"/>
      <c r="P358" s="2"/>
      <c r="Q358" s="2"/>
      <c r="R358" s="2"/>
      <c r="S358" s="2"/>
      <c r="T358" s="2"/>
      <c r="U358" s="2"/>
      <c r="V358" s="2"/>
      <c r="W358" s="2"/>
      <c r="X358" s="2"/>
      <c r="Y358" s="2"/>
      <c r="Z358" s="2"/>
      <c r="AA358" s="2"/>
      <c r="AB358" s="2"/>
    </row>
    <row r="359" spans="1:28" ht="15.75" customHeight="1">
      <c r="A359" s="2"/>
      <c r="B359" s="120"/>
      <c r="C359" s="2"/>
      <c r="D359" s="9"/>
      <c r="E359" s="9"/>
      <c r="F359" s="9"/>
      <c r="G359" s="9"/>
      <c r="H359" s="9"/>
      <c r="I359" s="9"/>
      <c r="J359" s="9"/>
      <c r="K359" s="9"/>
      <c r="L359" s="9"/>
      <c r="M359" s="9"/>
      <c r="N359" s="9"/>
      <c r="O359" s="9"/>
      <c r="P359" s="2"/>
      <c r="Q359" s="2"/>
      <c r="R359" s="2"/>
      <c r="S359" s="2"/>
      <c r="T359" s="2"/>
      <c r="U359" s="2"/>
      <c r="V359" s="2"/>
      <c r="W359" s="2"/>
      <c r="X359" s="2"/>
      <c r="Y359" s="2"/>
      <c r="Z359" s="2"/>
      <c r="AA359" s="2"/>
      <c r="AB359" s="2"/>
    </row>
    <row r="360" spans="1:28" ht="15.75" customHeight="1">
      <c r="A360" s="2"/>
      <c r="B360" s="120"/>
      <c r="C360" s="2"/>
      <c r="D360" s="9"/>
      <c r="E360" s="9"/>
      <c r="F360" s="9"/>
      <c r="G360" s="9"/>
      <c r="H360" s="9"/>
      <c r="I360" s="9"/>
      <c r="J360" s="9"/>
      <c r="K360" s="9"/>
      <c r="L360" s="9"/>
      <c r="M360" s="9"/>
      <c r="N360" s="9"/>
      <c r="O360" s="9"/>
      <c r="P360" s="2"/>
      <c r="Q360" s="2"/>
      <c r="R360" s="2"/>
      <c r="S360" s="2"/>
      <c r="T360" s="2"/>
      <c r="U360" s="2"/>
      <c r="V360" s="2"/>
      <c r="W360" s="2"/>
      <c r="X360" s="2"/>
      <c r="Y360" s="2"/>
      <c r="Z360" s="2"/>
      <c r="AA360" s="2"/>
      <c r="AB360" s="2"/>
    </row>
    <row r="361" spans="1:28" ht="15.75" customHeight="1">
      <c r="A361" s="2"/>
      <c r="B361" s="120"/>
      <c r="C361" s="2"/>
      <c r="D361" s="9"/>
      <c r="E361" s="9"/>
      <c r="F361" s="9"/>
      <c r="G361" s="9"/>
      <c r="H361" s="9"/>
      <c r="I361" s="9"/>
      <c r="J361" s="9"/>
      <c r="K361" s="9"/>
      <c r="L361" s="9"/>
      <c r="M361" s="9"/>
      <c r="N361" s="9"/>
      <c r="O361" s="9"/>
      <c r="P361" s="2"/>
      <c r="Q361" s="2"/>
      <c r="R361" s="2"/>
      <c r="S361" s="2"/>
      <c r="T361" s="2"/>
      <c r="U361" s="2"/>
      <c r="V361" s="2"/>
      <c r="W361" s="2"/>
      <c r="X361" s="2"/>
      <c r="Y361" s="2"/>
      <c r="Z361" s="2"/>
      <c r="AA361" s="2"/>
      <c r="AB361" s="2"/>
    </row>
    <row r="362" spans="1:28" ht="15.75" customHeight="1">
      <c r="A362" s="2"/>
      <c r="B362" s="120"/>
      <c r="C362" s="2"/>
      <c r="D362" s="9"/>
      <c r="E362" s="9"/>
      <c r="F362" s="9"/>
      <c r="G362" s="9"/>
      <c r="H362" s="9"/>
      <c r="I362" s="9"/>
      <c r="J362" s="9"/>
      <c r="K362" s="9"/>
      <c r="L362" s="9"/>
      <c r="M362" s="9"/>
      <c r="N362" s="9"/>
      <c r="O362" s="9"/>
      <c r="P362" s="2"/>
      <c r="Q362" s="2"/>
      <c r="R362" s="2"/>
      <c r="S362" s="2"/>
      <c r="T362" s="2"/>
      <c r="U362" s="2"/>
      <c r="V362" s="2"/>
      <c r="W362" s="2"/>
      <c r="X362" s="2"/>
      <c r="Y362" s="2"/>
      <c r="Z362" s="2"/>
      <c r="AA362" s="2"/>
      <c r="AB362" s="2"/>
    </row>
    <row r="363" spans="1:28" ht="15.75" customHeight="1">
      <c r="A363" s="2"/>
      <c r="B363" s="120"/>
      <c r="C363" s="2"/>
      <c r="D363" s="9"/>
      <c r="E363" s="9"/>
      <c r="F363" s="9"/>
      <c r="G363" s="9"/>
      <c r="H363" s="9"/>
      <c r="I363" s="9"/>
      <c r="J363" s="9"/>
      <c r="K363" s="9"/>
      <c r="L363" s="9"/>
      <c r="M363" s="9"/>
      <c r="N363" s="9"/>
      <c r="O363" s="9"/>
      <c r="P363" s="2"/>
      <c r="Q363" s="2"/>
      <c r="R363" s="2"/>
      <c r="S363" s="2"/>
      <c r="T363" s="2"/>
      <c r="U363" s="2"/>
      <c r="V363" s="2"/>
      <c r="W363" s="2"/>
      <c r="X363" s="2"/>
      <c r="Y363" s="2"/>
      <c r="Z363" s="2"/>
      <c r="AA363" s="2"/>
      <c r="AB363" s="2"/>
    </row>
    <row r="364" spans="1:28" ht="15.75" customHeight="1">
      <c r="A364" s="2"/>
      <c r="B364" s="120"/>
      <c r="C364" s="2"/>
      <c r="D364" s="9"/>
      <c r="E364" s="9"/>
      <c r="F364" s="9"/>
      <c r="G364" s="9"/>
      <c r="H364" s="9"/>
      <c r="I364" s="9"/>
      <c r="J364" s="9"/>
      <c r="K364" s="9"/>
      <c r="L364" s="9"/>
      <c r="M364" s="9"/>
      <c r="N364" s="9"/>
      <c r="O364" s="9"/>
      <c r="P364" s="2"/>
      <c r="Q364" s="2"/>
      <c r="R364" s="2"/>
      <c r="S364" s="2"/>
      <c r="T364" s="2"/>
      <c r="U364" s="2"/>
      <c r="V364" s="2"/>
      <c r="W364" s="2"/>
      <c r="X364" s="2"/>
      <c r="Y364" s="2"/>
      <c r="Z364" s="2"/>
      <c r="AA364" s="2"/>
      <c r="AB364" s="2"/>
    </row>
    <row r="365" spans="1:28" ht="15.75" customHeight="1">
      <c r="A365" s="2"/>
      <c r="B365" s="120"/>
      <c r="C365" s="2"/>
      <c r="D365" s="9"/>
      <c r="E365" s="9"/>
      <c r="F365" s="9"/>
      <c r="G365" s="9"/>
      <c r="H365" s="9"/>
      <c r="I365" s="9"/>
      <c r="J365" s="9"/>
      <c r="K365" s="9"/>
      <c r="L365" s="9"/>
      <c r="M365" s="9"/>
      <c r="N365" s="9"/>
      <c r="O365" s="9"/>
      <c r="P365" s="2"/>
      <c r="Q365" s="2"/>
      <c r="R365" s="2"/>
      <c r="S365" s="2"/>
      <c r="T365" s="2"/>
      <c r="U365" s="2"/>
      <c r="V365" s="2"/>
      <c r="W365" s="2"/>
      <c r="X365" s="2"/>
      <c r="Y365" s="2"/>
      <c r="Z365" s="2"/>
      <c r="AA365" s="2"/>
      <c r="AB365" s="2"/>
    </row>
    <row r="366" spans="1:28" ht="15.75" customHeight="1">
      <c r="A366" s="2"/>
      <c r="B366" s="120"/>
      <c r="C366" s="2"/>
      <c r="D366" s="9"/>
      <c r="E366" s="9"/>
      <c r="F366" s="9"/>
      <c r="G366" s="9"/>
      <c r="H366" s="9"/>
      <c r="I366" s="9"/>
      <c r="J366" s="9"/>
      <c r="K366" s="9"/>
      <c r="L366" s="9"/>
      <c r="M366" s="9"/>
      <c r="N366" s="9"/>
      <c r="O366" s="9"/>
      <c r="P366" s="2"/>
      <c r="Q366" s="2"/>
      <c r="R366" s="2"/>
      <c r="S366" s="2"/>
      <c r="T366" s="2"/>
      <c r="U366" s="2"/>
      <c r="V366" s="2"/>
      <c r="W366" s="2"/>
      <c r="X366" s="2"/>
      <c r="Y366" s="2"/>
      <c r="Z366" s="2"/>
      <c r="AA366" s="2"/>
      <c r="AB366" s="2"/>
    </row>
    <row r="367" spans="1:28" ht="15.75" customHeight="1">
      <c r="A367" s="2"/>
      <c r="B367" s="120"/>
      <c r="C367" s="2"/>
      <c r="D367" s="9"/>
      <c r="E367" s="9"/>
      <c r="F367" s="9"/>
      <c r="G367" s="9"/>
      <c r="H367" s="9"/>
      <c r="I367" s="9"/>
      <c r="J367" s="9"/>
      <c r="K367" s="9"/>
      <c r="L367" s="9"/>
      <c r="M367" s="9"/>
      <c r="N367" s="9"/>
      <c r="O367" s="9"/>
      <c r="P367" s="2"/>
      <c r="Q367" s="2"/>
      <c r="R367" s="2"/>
      <c r="S367" s="2"/>
      <c r="T367" s="2"/>
      <c r="U367" s="2"/>
      <c r="V367" s="2"/>
      <c r="W367" s="2"/>
      <c r="X367" s="2"/>
      <c r="Y367" s="2"/>
      <c r="Z367" s="2"/>
      <c r="AA367" s="2"/>
      <c r="AB367" s="2"/>
    </row>
    <row r="368" spans="1:28" ht="15.75" customHeight="1">
      <c r="A368" s="2"/>
      <c r="B368" s="120"/>
      <c r="C368" s="2"/>
      <c r="D368" s="9"/>
      <c r="E368" s="9"/>
      <c r="F368" s="9"/>
      <c r="G368" s="9"/>
      <c r="H368" s="9"/>
      <c r="I368" s="9"/>
      <c r="J368" s="9"/>
      <c r="K368" s="9"/>
      <c r="L368" s="9"/>
      <c r="M368" s="9"/>
      <c r="N368" s="9"/>
      <c r="O368" s="9"/>
      <c r="P368" s="2"/>
      <c r="Q368" s="2"/>
      <c r="R368" s="2"/>
      <c r="S368" s="2"/>
      <c r="T368" s="2"/>
      <c r="U368" s="2"/>
      <c r="V368" s="2"/>
      <c r="W368" s="2"/>
      <c r="X368" s="2"/>
      <c r="Y368" s="2"/>
      <c r="Z368" s="2"/>
      <c r="AA368" s="2"/>
      <c r="AB368" s="2"/>
    </row>
    <row r="369" spans="1:28" ht="15.75" customHeight="1">
      <c r="A369" s="2"/>
      <c r="B369" s="120"/>
      <c r="C369" s="2"/>
      <c r="D369" s="9"/>
      <c r="E369" s="9"/>
      <c r="F369" s="9"/>
      <c r="G369" s="9"/>
      <c r="H369" s="9"/>
      <c r="I369" s="9"/>
      <c r="J369" s="9"/>
      <c r="K369" s="9"/>
      <c r="L369" s="9"/>
      <c r="M369" s="9"/>
      <c r="N369" s="9"/>
      <c r="O369" s="9"/>
      <c r="P369" s="2"/>
      <c r="Q369" s="2"/>
      <c r="R369" s="2"/>
      <c r="S369" s="2"/>
      <c r="T369" s="2"/>
      <c r="U369" s="2"/>
      <c r="V369" s="2"/>
      <c r="W369" s="2"/>
      <c r="X369" s="2"/>
      <c r="Y369" s="2"/>
      <c r="Z369" s="2"/>
      <c r="AA369" s="2"/>
      <c r="AB369" s="2"/>
    </row>
    <row r="370" spans="1:28" ht="15.75" customHeight="1">
      <c r="A370" s="2"/>
      <c r="B370" s="120"/>
      <c r="C370" s="2"/>
      <c r="D370" s="9"/>
      <c r="E370" s="9"/>
      <c r="F370" s="9"/>
      <c r="G370" s="9"/>
      <c r="H370" s="9"/>
      <c r="I370" s="9"/>
      <c r="J370" s="9"/>
      <c r="K370" s="9"/>
      <c r="L370" s="9"/>
      <c r="M370" s="9"/>
      <c r="N370" s="9"/>
      <c r="O370" s="9"/>
      <c r="P370" s="2"/>
      <c r="Q370" s="2"/>
      <c r="R370" s="2"/>
      <c r="S370" s="2"/>
      <c r="T370" s="2"/>
      <c r="U370" s="2"/>
      <c r="V370" s="2"/>
      <c r="W370" s="2"/>
      <c r="X370" s="2"/>
      <c r="Y370" s="2"/>
      <c r="Z370" s="2"/>
      <c r="AA370" s="2"/>
      <c r="AB370" s="2"/>
    </row>
    <row r="371" spans="1:28" ht="15.75" customHeight="1">
      <c r="A371" s="2"/>
      <c r="B371" s="120"/>
      <c r="C371" s="2"/>
      <c r="D371" s="9"/>
      <c r="E371" s="9"/>
      <c r="F371" s="9"/>
      <c r="G371" s="9"/>
      <c r="H371" s="9"/>
      <c r="I371" s="9"/>
      <c r="J371" s="9"/>
      <c r="K371" s="9"/>
      <c r="L371" s="9"/>
      <c r="M371" s="9"/>
      <c r="N371" s="9"/>
      <c r="O371" s="9"/>
      <c r="P371" s="2"/>
      <c r="Q371" s="2"/>
      <c r="R371" s="2"/>
      <c r="S371" s="2"/>
      <c r="T371" s="2"/>
      <c r="U371" s="2"/>
      <c r="V371" s="2"/>
      <c r="W371" s="2"/>
      <c r="X371" s="2"/>
      <c r="Y371" s="2"/>
      <c r="Z371" s="2"/>
      <c r="AA371" s="2"/>
      <c r="AB371" s="2"/>
    </row>
    <row r="372" spans="1:28" ht="15.75" customHeight="1">
      <c r="A372" s="2"/>
      <c r="B372" s="120"/>
      <c r="C372" s="2"/>
      <c r="D372" s="9"/>
      <c r="E372" s="9"/>
      <c r="F372" s="9"/>
      <c r="G372" s="9"/>
      <c r="H372" s="9"/>
      <c r="I372" s="9"/>
      <c r="J372" s="9"/>
      <c r="K372" s="9"/>
      <c r="L372" s="9"/>
      <c r="M372" s="9"/>
      <c r="N372" s="9"/>
      <c r="O372" s="9"/>
      <c r="P372" s="2"/>
      <c r="Q372" s="2"/>
      <c r="R372" s="2"/>
      <c r="S372" s="2"/>
      <c r="T372" s="2"/>
      <c r="U372" s="2"/>
      <c r="V372" s="2"/>
      <c r="W372" s="2"/>
      <c r="X372" s="2"/>
      <c r="Y372" s="2"/>
      <c r="Z372" s="2"/>
      <c r="AA372" s="2"/>
      <c r="AB372" s="2"/>
    </row>
    <row r="373" spans="1:28" ht="15.75" customHeight="1">
      <c r="A373" s="2"/>
      <c r="B373" s="120"/>
      <c r="C373" s="2"/>
      <c r="D373" s="9"/>
      <c r="E373" s="9"/>
      <c r="F373" s="9"/>
      <c r="G373" s="9"/>
      <c r="H373" s="9"/>
      <c r="I373" s="9"/>
      <c r="J373" s="9"/>
      <c r="K373" s="9"/>
      <c r="L373" s="9"/>
      <c r="M373" s="9"/>
      <c r="N373" s="9"/>
      <c r="O373" s="9"/>
      <c r="P373" s="2"/>
      <c r="Q373" s="2"/>
      <c r="R373" s="2"/>
      <c r="S373" s="2"/>
      <c r="T373" s="2"/>
      <c r="U373" s="2"/>
      <c r="V373" s="2"/>
      <c r="W373" s="2"/>
      <c r="X373" s="2"/>
      <c r="Y373" s="2"/>
      <c r="Z373" s="2"/>
      <c r="AA373" s="2"/>
      <c r="AB373" s="2"/>
    </row>
    <row r="374" spans="1:28" ht="15.75" customHeight="1">
      <c r="A374" s="2"/>
      <c r="B374" s="120"/>
      <c r="C374" s="2"/>
      <c r="D374" s="9"/>
      <c r="E374" s="9"/>
      <c r="F374" s="9"/>
      <c r="G374" s="9"/>
      <c r="H374" s="9"/>
      <c r="I374" s="9"/>
      <c r="J374" s="9"/>
      <c r="K374" s="9"/>
      <c r="L374" s="9"/>
      <c r="M374" s="9"/>
      <c r="N374" s="9"/>
      <c r="O374" s="9"/>
      <c r="P374" s="2"/>
      <c r="Q374" s="2"/>
      <c r="R374" s="2"/>
      <c r="S374" s="2"/>
      <c r="T374" s="2"/>
      <c r="U374" s="2"/>
      <c r="V374" s="2"/>
      <c r="W374" s="2"/>
      <c r="X374" s="2"/>
      <c r="Y374" s="2"/>
      <c r="Z374" s="2"/>
      <c r="AA374" s="2"/>
      <c r="AB374" s="2"/>
    </row>
    <row r="375" spans="1:28" ht="15.75" customHeight="1">
      <c r="A375" s="2"/>
      <c r="B375" s="120"/>
      <c r="C375" s="2"/>
      <c r="D375" s="9"/>
      <c r="E375" s="9"/>
      <c r="F375" s="9"/>
      <c r="G375" s="9"/>
      <c r="H375" s="9"/>
      <c r="I375" s="9"/>
      <c r="J375" s="9"/>
      <c r="K375" s="9"/>
      <c r="L375" s="9"/>
      <c r="M375" s="9"/>
      <c r="N375" s="9"/>
      <c r="O375" s="9"/>
      <c r="P375" s="2"/>
      <c r="Q375" s="2"/>
      <c r="R375" s="2"/>
      <c r="S375" s="2"/>
      <c r="T375" s="2"/>
      <c r="U375" s="2"/>
      <c r="V375" s="2"/>
      <c r="W375" s="2"/>
      <c r="X375" s="2"/>
      <c r="Y375" s="2"/>
      <c r="Z375" s="2"/>
      <c r="AA375" s="2"/>
      <c r="AB375" s="2"/>
    </row>
    <row r="376" spans="1:28" ht="15.75" customHeight="1">
      <c r="A376" s="2"/>
      <c r="B376" s="120"/>
      <c r="C376" s="2"/>
      <c r="D376" s="9"/>
      <c r="E376" s="9"/>
      <c r="F376" s="9"/>
      <c r="G376" s="9"/>
      <c r="H376" s="9"/>
      <c r="I376" s="9"/>
      <c r="J376" s="9"/>
      <c r="K376" s="9"/>
      <c r="L376" s="9"/>
      <c r="M376" s="9"/>
      <c r="N376" s="9"/>
      <c r="O376" s="9"/>
      <c r="P376" s="2"/>
      <c r="Q376" s="2"/>
      <c r="R376" s="2"/>
      <c r="S376" s="2"/>
      <c r="T376" s="2"/>
      <c r="U376" s="2"/>
      <c r="V376" s="2"/>
      <c r="W376" s="2"/>
      <c r="X376" s="2"/>
      <c r="Y376" s="2"/>
      <c r="Z376" s="2"/>
      <c r="AA376" s="2"/>
      <c r="AB376" s="2"/>
    </row>
    <row r="377" spans="1:28" ht="15.75" customHeight="1">
      <c r="A377" s="2"/>
      <c r="B377" s="120"/>
      <c r="C377" s="2"/>
      <c r="D377" s="9"/>
      <c r="E377" s="9"/>
      <c r="F377" s="9"/>
      <c r="G377" s="9"/>
      <c r="H377" s="9"/>
      <c r="I377" s="9"/>
      <c r="J377" s="9"/>
      <c r="K377" s="9"/>
      <c r="L377" s="9"/>
      <c r="M377" s="9"/>
      <c r="N377" s="9"/>
      <c r="O377" s="9"/>
      <c r="P377" s="2"/>
      <c r="Q377" s="2"/>
      <c r="R377" s="2"/>
      <c r="S377" s="2"/>
      <c r="T377" s="2"/>
      <c r="U377" s="2"/>
      <c r="V377" s="2"/>
      <c r="W377" s="2"/>
      <c r="X377" s="2"/>
      <c r="Y377" s="2"/>
      <c r="Z377" s="2"/>
      <c r="AA377" s="2"/>
      <c r="AB377" s="2"/>
    </row>
    <row r="378" spans="1:28" ht="15.75" customHeight="1">
      <c r="A378" s="2"/>
      <c r="B378" s="120"/>
      <c r="C378" s="2"/>
      <c r="D378" s="9"/>
      <c r="E378" s="9"/>
      <c r="F378" s="9"/>
      <c r="G378" s="9"/>
      <c r="H378" s="9"/>
      <c r="I378" s="9"/>
      <c r="J378" s="9"/>
      <c r="K378" s="9"/>
      <c r="L378" s="9"/>
      <c r="M378" s="9"/>
      <c r="N378" s="9"/>
      <c r="O378" s="9"/>
      <c r="P378" s="2"/>
      <c r="Q378" s="2"/>
      <c r="R378" s="2"/>
      <c r="S378" s="2"/>
      <c r="T378" s="2"/>
      <c r="U378" s="2"/>
      <c r="V378" s="2"/>
      <c r="W378" s="2"/>
      <c r="X378" s="2"/>
      <c r="Y378" s="2"/>
      <c r="Z378" s="2"/>
      <c r="AA378" s="2"/>
      <c r="AB378" s="2"/>
    </row>
    <row r="379" spans="1:28" ht="15.75" customHeight="1">
      <c r="A379" s="2"/>
      <c r="B379" s="120"/>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5.75" customHeight="1">
      <c r="A380" s="2"/>
      <c r="B380" s="120"/>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5.75" customHeight="1">
      <c r="A381" s="2"/>
      <c r="B381" s="120"/>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5.75" customHeight="1">
      <c r="A382" s="2"/>
      <c r="B382" s="120"/>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5.75" customHeight="1">
      <c r="A383" s="2"/>
      <c r="B383" s="120"/>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5.75" customHeight="1">
      <c r="A384" s="2"/>
      <c r="B384" s="120"/>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5.75" customHeight="1">
      <c r="A385" s="2"/>
      <c r="B385" s="120"/>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5.75" customHeight="1">
      <c r="A386" s="2"/>
      <c r="B386" s="120"/>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5.75" customHeight="1">
      <c r="A387" s="2"/>
      <c r="B387" s="120"/>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5.75" customHeight="1">
      <c r="A388" s="2"/>
      <c r="B388" s="120"/>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5.75" customHeight="1">
      <c r="A389" s="2"/>
      <c r="B389" s="120"/>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5.75" customHeight="1">
      <c r="A390" s="2"/>
      <c r="B390" s="120"/>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5.75" customHeight="1">
      <c r="A391" s="2"/>
      <c r="B391" s="120"/>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5.75" customHeight="1">
      <c r="A392" s="2"/>
      <c r="B392" s="120"/>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5.75" customHeight="1">
      <c r="A393" s="2"/>
      <c r="B393" s="120"/>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5.75" customHeight="1">
      <c r="A394" s="2"/>
      <c r="B394" s="120"/>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5.75" customHeight="1">
      <c r="A395" s="2"/>
      <c r="B395" s="120"/>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5.75" customHeight="1">
      <c r="A396" s="2"/>
      <c r="B396" s="120"/>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5.75" customHeight="1">
      <c r="A397" s="2"/>
      <c r="B397" s="120"/>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5.75" customHeight="1">
      <c r="A398" s="2"/>
      <c r="B398" s="120"/>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5.75" customHeight="1">
      <c r="A399" s="2"/>
      <c r="B399" s="120"/>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5.75" customHeight="1">
      <c r="A400" s="2"/>
      <c r="B400" s="120"/>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5.75" customHeight="1">
      <c r="A401" s="2"/>
      <c r="B401" s="120"/>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5.75" customHeight="1">
      <c r="A402" s="2"/>
      <c r="B402" s="120"/>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5.75" customHeight="1">
      <c r="A403" s="2"/>
      <c r="B403" s="120"/>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5.75" customHeight="1">
      <c r="A404" s="2"/>
      <c r="B404" s="120"/>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5.75" customHeight="1">
      <c r="A405" s="2"/>
      <c r="B405" s="120"/>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5.75" customHeight="1">
      <c r="A406" s="2"/>
      <c r="B406" s="120"/>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5.75" customHeight="1">
      <c r="A407" s="2"/>
      <c r="B407" s="120"/>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5.75" customHeight="1">
      <c r="A408" s="2"/>
      <c r="B408" s="120"/>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5.75" customHeight="1">
      <c r="A409" s="2"/>
      <c r="B409" s="120"/>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5.75" customHeight="1">
      <c r="A410" s="2"/>
      <c r="B410" s="120"/>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5.75" customHeight="1">
      <c r="A411" s="2"/>
      <c r="B411" s="120"/>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5.75" customHeight="1">
      <c r="A412" s="2"/>
      <c r="B412" s="120"/>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5.75" customHeight="1">
      <c r="A413" s="2"/>
      <c r="B413" s="120"/>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5.75" customHeight="1">
      <c r="A414" s="2"/>
      <c r="B414" s="120"/>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5.75" customHeight="1">
      <c r="A415" s="2"/>
      <c r="B415" s="120"/>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5.75" customHeight="1">
      <c r="A416" s="2"/>
      <c r="B416" s="120"/>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5.75" customHeight="1">
      <c r="A417" s="2"/>
      <c r="B417" s="120"/>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5.75" customHeight="1">
      <c r="A418" s="2"/>
      <c r="B418" s="120"/>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5.75" customHeight="1">
      <c r="A419" s="2"/>
      <c r="B419" s="120"/>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5.75" customHeight="1">
      <c r="A420" s="2"/>
      <c r="B420" s="120"/>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5.75" customHeight="1">
      <c r="A421" s="2"/>
      <c r="B421" s="120"/>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5.75" customHeight="1">
      <c r="A422" s="2"/>
      <c r="B422" s="120"/>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5.75" customHeight="1">
      <c r="A423" s="2"/>
      <c r="B423" s="120"/>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5.75" customHeight="1">
      <c r="A424" s="2"/>
      <c r="B424" s="120"/>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5.75" customHeight="1">
      <c r="A425" s="2"/>
      <c r="B425" s="120"/>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5.75" customHeight="1">
      <c r="A426" s="2"/>
      <c r="B426" s="120"/>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5.75" customHeight="1">
      <c r="A427" s="2"/>
      <c r="B427" s="120"/>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5.75" customHeight="1">
      <c r="A428" s="2"/>
      <c r="B428" s="120"/>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5.75" customHeight="1">
      <c r="A429" s="2"/>
      <c r="B429" s="120"/>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5.75" customHeight="1">
      <c r="A430" s="2"/>
      <c r="B430" s="120"/>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5.75" customHeight="1">
      <c r="A431" s="2"/>
      <c r="B431" s="120"/>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5.75" customHeight="1">
      <c r="A432" s="2"/>
      <c r="B432" s="120"/>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5.75" customHeight="1">
      <c r="A433" s="2"/>
      <c r="B433" s="120"/>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5.75" customHeight="1">
      <c r="A434" s="2"/>
      <c r="B434" s="120"/>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5.75" customHeight="1">
      <c r="A435" s="2"/>
      <c r="B435" s="120"/>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5.75" customHeight="1">
      <c r="A436" s="2"/>
      <c r="B436" s="120"/>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5.75" customHeight="1">
      <c r="A437" s="2"/>
      <c r="B437" s="120"/>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5.75" customHeight="1">
      <c r="A438" s="2"/>
      <c r="B438" s="120"/>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5.75" customHeight="1">
      <c r="A439" s="2"/>
      <c r="B439" s="120"/>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5.75" customHeight="1">
      <c r="A440" s="2"/>
      <c r="B440" s="120"/>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5.75" customHeight="1">
      <c r="A441" s="2"/>
      <c r="B441" s="120"/>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5.75" customHeight="1">
      <c r="A442" s="2"/>
      <c r="B442" s="120"/>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5.75" customHeight="1">
      <c r="A443" s="2"/>
      <c r="B443" s="120"/>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5.75" customHeight="1">
      <c r="A444" s="2"/>
      <c r="B444" s="120"/>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5.75" customHeight="1">
      <c r="A445" s="2"/>
      <c r="B445" s="120"/>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5.75" customHeight="1">
      <c r="A446" s="2"/>
      <c r="B446" s="120"/>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5.75" customHeight="1">
      <c r="A447" s="2"/>
      <c r="B447" s="120"/>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5.75" customHeight="1">
      <c r="A448" s="2"/>
      <c r="B448" s="120"/>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5.75" customHeight="1">
      <c r="A449" s="2"/>
      <c r="B449" s="120"/>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5.75" customHeight="1">
      <c r="A450" s="2"/>
      <c r="B450" s="120"/>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5.75" customHeight="1">
      <c r="A451" s="2"/>
      <c r="B451" s="120"/>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5.75" customHeight="1">
      <c r="A452" s="2"/>
      <c r="B452" s="120"/>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5.75" customHeight="1">
      <c r="A453" s="2"/>
      <c r="B453" s="120"/>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5.75" customHeight="1">
      <c r="A454" s="2"/>
      <c r="B454" s="120"/>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5.75" customHeight="1">
      <c r="A455" s="2"/>
      <c r="B455" s="120"/>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5.75" customHeight="1">
      <c r="A456" s="2"/>
      <c r="B456" s="120"/>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5.75" customHeight="1">
      <c r="A457" s="2"/>
      <c r="B457" s="120"/>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5.75" customHeight="1">
      <c r="A458" s="2"/>
      <c r="B458" s="120"/>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5.75" customHeight="1">
      <c r="A459" s="2"/>
      <c r="B459" s="120"/>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5.75" customHeight="1">
      <c r="A460" s="2"/>
      <c r="B460" s="120"/>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5.75" customHeight="1">
      <c r="A461" s="2"/>
      <c r="B461" s="120"/>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5.75" customHeight="1">
      <c r="A462" s="2"/>
      <c r="B462" s="120"/>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5.75" customHeight="1">
      <c r="A463" s="2"/>
      <c r="B463" s="120"/>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5.75" customHeight="1">
      <c r="A464" s="2"/>
      <c r="B464" s="120"/>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5.75" customHeight="1">
      <c r="A465" s="2"/>
      <c r="B465" s="120"/>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5.75" customHeight="1">
      <c r="A466" s="2"/>
      <c r="B466" s="120"/>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5.75" customHeight="1">
      <c r="A467" s="2"/>
      <c r="B467" s="120"/>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5.75" customHeight="1">
      <c r="A468" s="2"/>
      <c r="B468" s="120"/>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5.75" customHeight="1">
      <c r="A469" s="2"/>
      <c r="B469" s="120"/>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5.75" customHeight="1">
      <c r="A470" s="2"/>
      <c r="B470" s="120"/>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5.75" customHeight="1">
      <c r="A471" s="2"/>
      <c r="B471" s="120"/>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5.75" customHeight="1">
      <c r="A472" s="2"/>
      <c r="B472" s="120"/>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5.75" customHeight="1">
      <c r="A473" s="2"/>
      <c r="B473" s="120"/>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5.75" customHeight="1">
      <c r="A474" s="2"/>
      <c r="B474" s="120"/>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5.75" customHeight="1">
      <c r="A475" s="2"/>
      <c r="B475" s="120"/>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5.75" customHeight="1">
      <c r="A476" s="2"/>
      <c r="B476" s="120"/>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5.75" customHeight="1">
      <c r="A477" s="2"/>
      <c r="B477" s="120"/>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5.75" customHeight="1">
      <c r="A478" s="2"/>
      <c r="B478" s="120"/>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5.75" customHeight="1">
      <c r="A479" s="2"/>
      <c r="B479" s="120"/>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5.75" customHeight="1">
      <c r="A480" s="2"/>
      <c r="B480" s="120"/>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5.75" customHeight="1">
      <c r="A481" s="2"/>
      <c r="B481" s="120"/>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5.75" customHeight="1">
      <c r="A482" s="2"/>
      <c r="B482" s="120"/>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5.75" customHeight="1">
      <c r="A483" s="2"/>
      <c r="B483" s="120"/>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5.75" customHeight="1">
      <c r="A484" s="2"/>
      <c r="B484" s="120"/>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5.75" customHeight="1">
      <c r="A485" s="2"/>
      <c r="B485" s="120"/>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5.75" customHeight="1">
      <c r="A486" s="2"/>
      <c r="B486" s="120"/>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5.75" customHeight="1">
      <c r="A487" s="2"/>
      <c r="B487" s="120"/>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5.75" customHeight="1">
      <c r="A488" s="2"/>
      <c r="B488" s="120"/>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5.75" customHeight="1">
      <c r="A489" s="2"/>
      <c r="B489" s="120"/>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5.75" customHeight="1">
      <c r="A490" s="2"/>
      <c r="B490" s="120"/>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5.75" customHeight="1">
      <c r="A491" s="2"/>
      <c r="B491" s="120"/>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5.75" customHeight="1">
      <c r="A492" s="2"/>
      <c r="B492" s="120"/>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5.75" customHeight="1">
      <c r="A493" s="2"/>
      <c r="B493" s="120"/>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5.75" customHeight="1">
      <c r="A494" s="2"/>
      <c r="B494" s="120"/>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5.75" customHeight="1">
      <c r="A495" s="2"/>
      <c r="B495" s="120"/>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5.75" customHeight="1">
      <c r="A496" s="2"/>
      <c r="B496" s="120"/>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5.75" customHeight="1">
      <c r="A497" s="2"/>
      <c r="B497" s="120"/>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5.75" customHeight="1">
      <c r="A498" s="2"/>
      <c r="B498" s="120"/>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5.75" customHeight="1">
      <c r="A499" s="2"/>
      <c r="B499" s="120"/>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5.75" customHeight="1">
      <c r="A500" s="2"/>
      <c r="B500" s="120"/>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5.75" customHeight="1">
      <c r="A501" s="2"/>
      <c r="B501" s="120"/>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5.75" customHeight="1">
      <c r="A502" s="2"/>
      <c r="B502" s="120"/>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5.75" customHeight="1">
      <c r="A503" s="2"/>
      <c r="B503" s="120"/>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5.75" customHeight="1">
      <c r="A504" s="2"/>
      <c r="B504" s="120"/>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5.75" customHeight="1">
      <c r="A505" s="2"/>
      <c r="B505" s="120"/>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5.75" customHeight="1">
      <c r="A506" s="2"/>
      <c r="B506" s="120"/>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5.75" customHeight="1">
      <c r="A507" s="2"/>
      <c r="B507" s="120"/>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5.75" customHeight="1">
      <c r="A508" s="2"/>
      <c r="B508" s="120"/>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5.75" customHeight="1">
      <c r="A509" s="2"/>
      <c r="B509" s="120"/>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5.75" customHeight="1">
      <c r="A510" s="2"/>
      <c r="B510" s="120"/>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5.75" customHeight="1">
      <c r="A511" s="2"/>
      <c r="B511" s="120"/>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5.75" customHeight="1">
      <c r="A512" s="2"/>
      <c r="B512" s="120"/>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5.75" customHeight="1">
      <c r="A513" s="2"/>
      <c r="B513" s="120"/>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5.75" customHeight="1">
      <c r="A514" s="2"/>
      <c r="B514" s="120"/>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5.75" customHeight="1">
      <c r="A515" s="2"/>
      <c r="B515" s="120"/>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5.75" customHeight="1">
      <c r="A516" s="2"/>
      <c r="B516" s="120"/>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5.75" customHeight="1">
      <c r="A517" s="2"/>
      <c r="B517" s="120"/>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5.75" customHeight="1">
      <c r="A518" s="2"/>
      <c r="B518" s="120"/>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5.75" customHeight="1">
      <c r="A519" s="2"/>
      <c r="B519" s="120"/>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5.75" customHeight="1">
      <c r="A520" s="2"/>
      <c r="B520" s="120"/>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5.75" customHeight="1">
      <c r="A521" s="2"/>
      <c r="B521" s="120"/>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5.75" customHeight="1">
      <c r="A522" s="2"/>
      <c r="B522" s="120"/>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5.75" customHeight="1">
      <c r="A523" s="2"/>
      <c r="B523" s="120"/>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5.75" customHeight="1">
      <c r="A524" s="2"/>
      <c r="B524" s="120"/>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5.75" customHeight="1">
      <c r="A525" s="2"/>
      <c r="B525" s="120"/>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5.75" customHeight="1">
      <c r="A526" s="2"/>
      <c r="B526" s="120"/>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5.75" customHeight="1">
      <c r="A527" s="2"/>
      <c r="B527" s="120"/>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5.75" customHeight="1">
      <c r="A528" s="2"/>
      <c r="B528" s="120"/>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5.75" customHeight="1">
      <c r="A529" s="2"/>
      <c r="B529" s="120"/>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5.75" customHeight="1">
      <c r="A530" s="2"/>
      <c r="B530" s="120"/>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5.75" customHeight="1">
      <c r="A531" s="2"/>
      <c r="B531" s="120"/>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5.75" customHeight="1">
      <c r="A532" s="2"/>
      <c r="B532" s="120"/>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5.75" customHeight="1">
      <c r="A533" s="2"/>
      <c r="B533" s="120"/>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5.75" customHeight="1">
      <c r="A534" s="2"/>
      <c r="B534" s="120"/>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5.75" customHeight="1">
      <c r="A535" s="2"/>
      <c r="B535" s="120"/>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5.75" customHeight="1">
      <c r="A536" s="2"/>
      <c r="B536" s="120"/>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5.75" customHeight="1">
      <c r="A537" s="2"/>
      <c r="B537" s="120"/>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5.75" customHeight="1">
      <c r="A538" s="2"/>
      <c r="B538" s="120"/>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5.75" customHeight="1">
      <c r="A539" s="2"/>
      <c r="B539" s="120"/>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5.75" customHeight="1">
      <c r="A540" s="2"/>
      <c r="B540" s="120"/>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5.75" customHeight="1">
      <c r="A541" s="2"/>
      <c r="B541" s="120"/>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5.75" customHeight="1">
      <c r="A542" s="2"/>
      <c r="B542" s="120"/>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5.75" customHeight="1">
      <c r="A543" s="2"/>
      <c r="B543" s="120"/>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5.75" customHeight="1">
      <c r="A544" s="2"/>
      <c r="B544" s="120"/>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5.75" customHeight="1">
      <c r="A545" s="2"/>
      <c r="B545" s="120"/>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5.75" customHeight="1">
      <c r="A546" s="2"/>
      <c r="B546" s="120"/>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5.75" customHeight="1">
      <c r="A547" s="2"/>
      <c r="B547" s="120"/>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5.75" customHeight="1">
      <c r="A548" s="2"/>
      <c r="B548" s="120"/>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5.75" customHeight="1">
      <c r="A549" s="2"/>
      <c r="B549" s="120"/>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5.75" customHeight="1">
      <c r="A550" s="2"/>
      <c r="B550" s="120"/>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5.75" customHeight="1">
      <c r="A551" s="2"/>
      <c r="B551" s="120"/>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5.75" customHeight="1">
      <c r="A552" s="2"/>
      <c r="B552" s="120"/>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5.75" customHeight="1">
      <c r="A553" s="2"/>
      <c r="B553" s="120"/>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5.75" customHeight="1">
      <c r="A554" s="2"/>
      <c r="B554" s="120"/>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5.75" customHeight="1">
      <c r="A555" s="2"/>
      <c r="B555" s="120"/>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5.75" customHeight="1">
      <c r="A556" s="2"/>
      <c r="B556" s="120"/>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5.75" customHeight="1">
      <c r="A557" s="2"/>
      <c r="B557" s="120"/>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5.75" customHeight="1">
      <c r="A558" s="2"/>
      <c r="B558" s="120"/>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5.75" customHeight="1">
      <c r="A559" s="2"/>
      <c r="B559" s="120"/>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5.75" customHeight="1">
      <c r="A560" s="2"/>
      <c r="B560" s="120"/>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5.75" customHeight="1">
      <c r="A561" s="2"/>
      <c r="B561" s="120"/>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5.75" customHeight="1">
      <c r="A562" s="2"/>
      <c r="B562" s="120"/>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5.75" customHeight="1">
      <c r="A563" s="2"/>
      <c r="B563" s="120"/>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5.75" customHeight="1">
      <c r="A564" s="2"/>
      <c r="B564" s="120"/>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5.75" customHeight="1">
      <c r="A565" s="2"/>
      <c r="B565" s="120"/>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5.75" customHeight="1">
      <c r="A566" s="2"/>
      <c r="B566" s="120"/>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5.75" customHeight="1">
      <c r="A567" s="2"/>
      <c r="B567" s="120"/>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5.75" customHeight="1">
      <c r="A568" s="2"/>
      <c r="B568" s="120"/>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5.75" customHeight="1">
      <c r="A569" s="2"/>
      <c r="B569" s="120"/>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5.75" customHeight="1">
      <c r="A570" s="2"/>
      <c r="B570" s="120"/>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5.75" customHeight="1">
      <c r="A571" s="2"/>
      <c r="B571" s="120"/>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5.75" customHeight="1">
      <c r="A572" s="2"/>
      <c r="B572" s="120"/>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5.75" customHeight="1">
      <c r="A573" s="2"/>
      <c r="B573" s="120"/>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5.75" customHeight="1">
      <c r="A574" s="2"/>
      <c r="B574" s="120"/>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5.75" customHeight="1">
      <c r="A575" s="2"/>
      <c r="B575" s="120"/>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5.75" customHeight="1">
      <c r="A576" s="2"/>
      <c r="B576" s="120"/>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5.75" customHeight="1">
      <c r="A577" s="2"/>
      <c r="B577" s="120"/>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5.75" customHeight="1">
      <c r="A578" s="2"/>
      <c r="B578" s="120"/>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5.75" customHeight="1">
      <c r="A579" s="2"/>
      <c r="B579" s="120"/>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5.75" customHeight="1">
      <c r="A580" s="2"/>
      <c r="B580" s="120"/>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5.75" customHeight="1">
      <c r="A581" s="2"/>
      <c r="B581" s="120"/>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5.75" customHeight="1">
      <c r="A582" s="2"/>
      <c r="B582" s="120"/>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5.75" customHeight="1">
      <c r="A583" s="2"/>
      <c r="B583" s="120"/>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5.75" customHeight="1">
      <c r="A584" s="2"/>
      <c r="B584" s="120"/>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5.75" customHeight="1">
      <c r="A585" s="2"/>
      <c r="B585" s="120"/>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5.75" customHeight="1">
      <c r="A586" s="2"/>
      <c r="B586" s="120"/>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5.75" customHeight="1">
      <c r="A587" s="2"/>
      <c r="B587" s="120"/>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5.75" customHeight="1">
      <c r="A588" s="2"/>
      <c r="B588" s="120"/>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5.75" customHeight="1">
      <c r="A589" s="2"/>
      <c r="B589" s="120"/>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5.75" customHeight="1">
      <c r="A590" s="2"/>
      <c r="B590" s="120"/>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5.75" customHeight="1">
      <c r="A591" s="2"/>
      <c r="B591" s="120"/>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5.75" customHeight="1">
      <c r="A592" s="2"/>
      <c r="B592" s="120"/>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5.75" customHeight="1">
      <c r="A593" s="2"/>
      <c r="B593" s="120"/>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5.75" customHeight="1">
      <c r="A594" s="2"/>
      <c r="B594" s="120"/>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5.75" customHeight="1">
      <c r="A595" s="2"/>
      <c r="B595" s="120"/>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5.75" customHeight="1">
      <c r="A596" s="2"/>
      <c r="B596" s="120"/>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5.75" customHeight="1">
      <c r="A597" s="2"/>
      <c r="B597" s="120"/>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5.75" customHeight="1">
      <c r="A598" s="2"/>
      <c r="B598" s="120"/>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5.75" customHeight="1">
      <c r="A599" s="2"/>
      <c r="B599" s="120"/>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5.75" customHeight="1">
      <c r="A600" s="2"/>
      <c r="B600" s="120"/>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5.75" customHeight="1">
      <c r="A601" s="2"/>
      <c r="B601" s="120"/>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5.75" customHeight="1">
      <c r="A602" s="2"/>
      <c r="B602" s="120"/>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5.75" customHeight="1">
      <c r="A603" s="2"/>
      <c r="B603" s="120"/>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5.75" customHeight="1">
      <c r="A604" s="2"/>
      <c r="B604" s="120"/>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5.75" customHeight="1">
      <c r="A605" s="2"/>
      <c r="B605" s="120"/>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5.75" customHeight="1">
      <c r="A606" s="2"/>
      <c r="B606" s="120"/>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5.75" customHeight="1">
      <c r="A607" s="2"/>
      <c r="B607" s="120"/>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5.75" customHeight="1">
      <c r="A608" s="2"/>
      <c r="B608" s="120"/>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5.75" customHeight="1">
      <c r="A609" s="2"/>
      <c r="B609" s="120"/>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5.75" customHeight="1">
      <c r="A610" s="2"/>
      <c r="B610" s="120"/>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5.75" customHeight="1">
      <c r="A611" s="2"/>
      <c r="B611" s="120"/>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5.75" customHeight="1">
      <c r="A612" s="2"/>
      <c r="B612" s="120"/>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5.75" customHeight="1">
      <c r="A613" s="2"/>
      <c r="B613" s="120"/>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5.75" customHeight="1">
      <c r="A614" s="2"/>
      <c r="B614" s="120"/>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5.75" customHeight="1">
      <c r="A615" s="2"/>
      <c r="B615" s="120"/>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5.75" customHeight="1">
      <c r="A616" s="2"/>
      <c r="B616" s="120"/>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5.75" customHeight="1">
      <c r="A617" s="2"/>
      <c r="B617" s="120"/>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5.75" customHeight="1">
      <c r="A618" s="2"/>
      <c r="B618" s="120"/>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5.75" customHeight="1">
      <c r="A619" s="2"/>
      <c r="B619" s="120"/>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5.75" customHeight="1">
      <c r="A620" s="2"/>
      <c r="B620" s="120"/>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5.75" customHeight="1">
      <c r="A621" s="2"/>
      <c r="B621" s="120"/>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5.75" customHeight="1">
      <c r="A622" s="2"/>
      <c r="B622" s="120"/>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5.75" customHeight="1">
      <c r="A623" s="2"/>
      <c r="B623" s="120"/>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5.75" customHeight="1">
      <c r="A624" s="2"/>
      <c r="B624" s="120"/>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5.75" customHeight="1">
      <c r="A625" s="2"/>
      <c r="B625" s="120"/>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5.75" customHeight="1">
      <c r="A626" s="2"/>
      <c r="B626" s="120"/>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5.75" customHeight="1">
      <c r="A627" s="2"/>
      <c r="B627" s="120"/>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5.75" customHeight="1">
      <c r="A628" s="2"/>
      <c r="B628" s="120"/>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5.75" customHeight="1">
      <c r="A629" s="2"/>
      <c r="B629" s="120"/>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5.75" customHeight="1">
      <c r="A630" s="2"/>
      <c r="B630" s="120"/>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5.75" customHeight="1">
      <c r="A631" s="2"/>
      <c r="B631" s="120"/>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5.75" customHeight="1">
      <c r="A632" s="2"/>
      <c r="B632" s="120"/>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5.75" customHeight="1">
      <c r="A633" s="2"/>
      <c r="B633" s="120"/>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5.75" customHeight="1">
      <c r="A634" s="2"/>
      <c r="B634" s="120"/>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5.75" customHeight="1">
      <c r="A635" s="2"/>
      <c r="B635" s="120"/>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5.75" customHeight="1">
      <c r="A636" s="2"/>
      <c r="B636" s="120"/>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5.75" customHeight="1">
      <c r="A637" s="2"/>
      <c r="B637" s="120"/>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5.75" customHeight="1">
      <c r="A638" s="2"/>
      <c r="B638" s="120"/>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5.75" customHeight="1">
      <c r="A639" s="2"/>
      <c r="B639" s="120"/>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5.75" customHeight="1">
      <c r="A640" s="2"/>
      <c r="B640" s="120"/>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5.75" customHeight="1">
      <c r="A641" s="2"/>
      <c r="B641" s="120"/>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5.75" customHeight="1">
      <c r="A642" s="2"/>
      <c r="B642" s="120"/>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5.75" customHeight="1">
      <c r="A643" s="2"/>
      <c r="B643" s="120"/>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5.75" customHeight="1">
      <c r="A644" s="2"/>
      <c r="B644" s="120"/>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5.75" customHeight="1">
      <c r="A645" s="2"/>
      <c r="B645" s="120"/>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5.75" customHeight="1">
      <c r="A646" s="2"/>
      <c r="B646" s="120"/>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5.75" customHeight="1">
      <c r="A647" s="2"/>
      <c r="B647" s="120"/>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5.75" customHeight="1">
      <c r="A648" s="2"/>
      <c r="B648" s="120"/>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5.75" customHeight="1">
      <c r="A649" s="2"/>
      <c r="B649" s="120"/>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5.75" customHeight="1">
      <c r="A650" s="2"/>
      <c r="B650" s="120"/>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5.75" customHeight="1">
      <c r="A651" s="2"/>
      <c r="B651" s="120"/>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5.75" customHeight="1">
      <c r="A652" s="2"/>
      <c r="B652" s="120"/>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5.75" customHeight="1">
      <c r="A653" s="2"/>
      <c r="B653" s="120"/>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5.75" customHeight="1">
      <c r="A654" s="2"/>
      <c r="B654" s="120"/>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5.75" customHeight="1">
      <c r="A655" s="2"/>
      <c r="B655" s="120"/>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5.75" customHeight="1">
      <c r="A656" s="2"/>
      <c r="B656" s="120"/>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5.75" customHeight="1">
      <c r="A657" s="2"/>
      <c r="B657" s="120"/>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5.75" customHeight="1">
      <c r="A658" s="2"/>
      <c r="B658" s="120"/>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5.75" customHeight="1">
      <c r="A659" s="2"/>
      <c r="B659" s="120"/>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5.75" customHeight="1">
      <c r="A660" s="2"/>
      <c r="B660" s="120"/>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5.75" customHeight="1">
      <c r="A661" s="2"/>
      <c r="B661" s="120"/>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5.75" customHeight="1">
      <c r="A662" s="2"/>
      <c r="B662" s="120"/>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5.75" customHeight="1">
      <c r="A663" s="2"/>
      <c r="B663" s="120"/>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5.75" customHeight="1">
      <c r="A664" s="2"/>
      <c r="B664" s="120"/>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5.75" customHeight="1">
      <c r="A665" s="2"/>
      <c r="B665" s="120"/>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5.75" customHeight="1">
      <c r="A666" s="2"/>
      <c r="B666" s="120"/>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5.75" customHeight="1">
      <c r="A667" s="2"/>
      <c r="B667" s="120"/>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5.75" customHeight="1">
      <c r="A668" s="2"/>
      <c r="B668" s="120"/>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5.75" customHeight="1">
      <c r="A669" s="2"/>
      <c r="B669" s="120"/>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5.75" customHeight="1">
      <c r="A670" s="2"/>
      <c r="B670" s="120"/>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5.75" customHeight="1">
      <c r="A671" s="2"/>
      <c r="B671" s="120"/>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5.75" customHeight="1">
      <c r="A672" s="2"/>
      <c r="B672" s="120"/>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5.75" customHeight="1">
      <c r="A673" s="2"/>
      <c r="B673" s="120"/>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5.75" customHeight="1">
      <c r="A674" s="2"/>
      <c r="B674" s="120"/>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5.75" customHeight="1">
      <c r="A675" s="2"/>
      <c r="B675" s="120"/>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5.75" customHeight="1">
      <c r="A676" s="2"/>
      <c r="B676" s="120"/>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5.75" customHeight="1">
      <c r="A677" s="2"/>
      <c r="B677" s="120"/>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5.75" customHeight="1">
      <c r="A678" s="2"/>
      <c r="B678" s="120"/>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5.75" customHeight="1">
      <c r="A679" s="2"/>
      <c r="B679" s="120"/>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5.75" customHeight="1">
      <c r="A680" s="2"/>
      <c r="B680" s="120"/>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5.75" customHeight="1">
      <c r="A681" s="2"/>
      <c r="B681" s="120"/>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5.75" customHeight="1">
      <c r="A682" s="2"/>
      <c r="B682" s="120"/>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5.75" customHeight="1">
      <c r="A683" s="2"/>
      <c r="B683" s="120"/>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5.75" customHeight="1">
      <c r="A684" s="2"/>
      <c r="B684" s="120"/>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5.75" customHeight="1">
      <c r="A685" s="2"/>
      <c r="B685" s="120"/>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5.75" customHeight="1">
      <c r="A686" s="2"/>
      <c r="B686" s="120"/>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5.75" customHeight="1">
      <c r="A687" s="2"/>
      <c r="B687" s="120"/>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5.75" customHeight="1">
      <c r="A688" s="2"/>
      <c r="B688" s="120"/>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5.75" customHeight="1">
      <c r="A689" s="2"/>
      <c r="B689" s="120"/>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5.75" customHeight="1">
      <c r="A690" s="2"/>
      <c r="B690" s="120"/>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5.75" customHeight="1">
      <c r="A691" s="2"/>
      <c r="B691" s="120"/>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5.75" customHeight="1">
      <c r="A692" s="2"/>
      <c r="B692" s="120"/>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5.75" customHeight="1">
      <c r="A693" s="2"/>
      <c r="B693" s="120"/>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5.75" customHeight="1">
      <c r="A694" s="2"/>
      <c r="B694" s="120"/>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5.75" customHeight="1">
      <c r="A695" s="2"/>
      <c r="B695" s="120"/>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5.75" customHeight="1">
      <c r="A696" s="2"/>
      <c r="B696" s="120"/>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5.75" customHeight="1">
      <c r="A697" s="2"/>
      <c r="B697" s="120"/>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5.75" customHeight="1">
      <c r="A698" s="2"/>
      <c r="B698" s="120"/>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5.75" customHeight="1">
      <c r="A699" s="2"/>
      <c r="B699" s="120"/>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5.75" customHeight="1">
      <c r="A700" s="2"/>
      <c r="B700" s="120"/>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5.75" customHeight="1">
      <c r="A701" s="2"/>
      <c r="B701" s="120"/>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5.75" customHeight="1">
      <c r="A702" s="2"/>
      <c r="B702" s="120"/>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5.75" customHeight="1">
      <c r="A703" s="2"/>
      <c r="B703" s="120"/>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5.75" customHeight="1">
      <c r="A704" s="2"/>
      <c r="B704" s="120"/>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5.75" customHeight="1">
      <c r="A705" s="2"/>
      <c r="B705" s="120"/>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5.75" customHeight="1">
      <c r="A706" s="2"/>
      <c r="B706" s="120"/>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5.75" customHeight="1">
      <c r="A707" s="2"/>
      <c r="B707" s="120"/>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5.75" customHeight="1">
      <c r="A708" s="2"/>
      <c r="B708" s="120"/>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5.75" customHeight="1">
      <c r="A709" s="2"/>
      <c r="B709" s="120"/>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5.75" customHeight="1">
      <c r="A710" s="2"/>
      <c r="B710" s="120"/>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5.75" customHeight="1">
      <c r="A711" s="2"/>
      <c r="B711" s="120"/>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5.75" customHeight="1">
      <c r="A712" s="2"/>
      <c r="B712" s="120"/>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5.75" customHeight="1">
      <c r="A713" s="2"/>
      <c r="B713" s="120"/>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5.75" customHeight="1">
      <c r="A714" s="2"/>
      <c r="B714" s="120"/>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5.75" customHeight="1">
      <c r="A715" s="2"/>
      <c r="B715" s="120"/>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5.75" customHeight="1">
      <c r="A716" s="2"/>
      <c r="B716" s="120"/>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5.75" customHeight="1">
      <c r="A717" s="2"/>
      <c r="B717" s="120"/>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5.75" customHeight="1">
      <c r="A718" s="2"/>
      <c r="B718" s="120"/>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5.75" customHeight="1">
      <c r="A719" s="2"/>
      <c r="B719" s="120"/>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5.75" customHeight="1">
      <c r="A720" s="2"/>
      <c r="B720" s="120"/>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5.75" customHeight="1">
      <c r="A721" s="2"/>
      <c r="B721" s="120"/>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5.75" customHeight="1">
      <c r="A722" s="2"/>
      <c r="B722" s="120"/>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5.75" customHeight="1">
      <c r="A723" s="2"/>
      <c r="B723" s="120"/>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5.75" customHeight="1">
      <c r="A724" s="2"/>
      <c r="B724" s="120"/>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5.75" customHeight="1">
      <c r="A725" s="2"/>
      <c r="B725" s="120"/>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5.75" customHeight="1">
      <c r="A726" s="2"/>
      <c r="B726" s="120"/>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5.75" customHeight="1">
      <c r="A727" s="2"/>
      <c r="B727" s="120"/>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5.75" customHeight="1">
      <c r="A728" s="2"/>
      <c r="B728" s="120"/>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5.75" customHeight="1">
      <c r="A729" s="2"/>
      <c r="B729" s="120"/>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5.75" customHeight="1">
      <c r="A730" s="2"/>
      <c r="B730" s="120"/>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5.75" customHeight="1">
      <c r="A731" s="2"/>
      <c r="B731" s="120"/>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5.75" customHeight="1">
      <c r="A732" s="2"/>
      <c r="B732" s="120"/>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5.75" customHeight="1">
      <c r="A733" s="2"/>
      <c r="B733" s="120"/>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5.75" customHeight="1">
      <c r="A734" s="2"/>
      <c r="B734" s="120"/>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5.75" customHeight="1">
      <c r="A735" s="2"/>
      <c r="B735" s="120"/>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5.75" customHeight="1">
      <c r="A736" s="2"/>
      <c r="B736" s="120"/>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5.75" customHeight="1">
      <c r="A737" s="2"/>
      <c r="B737" s="120"/>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5.75" customHeight="1">
      <c r="A738" s="2"/>
      <c r="B738" s="120"/>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5.75" customHeight="1">
      <c r="A739" s="2"/>
      <c r="B739" s="120"/>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5.75" customHeight="1">
      <c r="A740" s="2"/>
      <c r="B740" s="120"/>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5.75" customHeight="1">
      <c r="A741" s="2"/>
      <c r="B741" s="120"/>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5.75" customHeight="1">
      <c r="A742" s="2"/>
      <c r="B742" s="120"/>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5.75" customHeight="1">
      <c r="A743" s="2"/>
      <c r="B743" s="120"/>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5.75" customHeight="1">
      <c r="A744" s="2"/>
      <c r="B744" s="120"/>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5.75" customHeight="1">
      <c r="A745" s="2"/>
      <c r="B745" s="120"/>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5.75" customHeight="1">
      <c r="A746" s="2"/>
      <c r="B746" s="120"/>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5.75" customHeight="1">
      <c r="A747" s="2"/>
      <c r="B747" s="120"/>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5.75" customHeight="1">
      <c r="A748" s="2"/>
      <c r="B748" s="120"/>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5.75" customHeight="1">
      <c r="A749" s="2"/>
      <c r="B749" s="120"/>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5.75" customHeight="1">
      <c r="A750" s="2"/>
      <c r="B750" s="120"/>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5.75" customHeight="1">
      <c r="A751" s="2"/>
      <c r="B751" s="120"/>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5.75" customHeight="1">
      <c r="A752" s="2"/>
      <c r="B752" s="120"/>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5.75" customHeight="1">
      <c r="A753" s="2"/>
      <c r="B753" s="120"/>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5.75" customHeight="1">
      <c r="A754" s="2"/>
      <c r="B754" s="120"/>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5.75" customHeight="1">
      <c r="A755" s="2"/>
      <c r="B755" s="120"/>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5.75" customHeight="1">
      <c r="A756" s="2"/>
      <c r="B756" s="120"/>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5.75" customHeight="1">
      <c r="A757" s="2"/>
      <c r="B757" s="120"/>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5.75" customHeight="1">
      <c r="A758" s="2"/>
      <c r="B758" s="120"/>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5.75" customHeight="1">
      <c r="A759" s="2"/>
      <c r="B759" s="120"/>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5.75" customHeight="1">
      <c r="A760" s="2"/>
      <c r="B760" s="120"/>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5.75" customHeight="1">
      <c r="A761" s="2"/>
      <c r="B761" s="120"/>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5.75" customHeight="1">
      <c r="A762" s="2"/>
      <c r="B762" s="120"/>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5.75" customHeight="1">
      <c r="A763" s="2"/>
      <c r="B763" s="120"/>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5.75" customHeight="1">
      <c r="A764" s="2"/>
      <c r="B764" s="120"/>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5.75" customHeight="1">
      <c r="A765" s="2"/>
      <c r="B765" s="120"/>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5.75" customHeight="1">
      <c r="A766" s="2"/>
      <c r="B766" s="120"/>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5.75" customHeight="1">
      <c r="A767" s="2"/>
      <c r="B767" s="120"/>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5.75" customHeight="1">
      <c r="A768" s="2"/>
      <c r="B768" s="120"/>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5.75" customHeight="1">
      <c r="A769" s="2"/>
      <c r="B769" s="120"/>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5.75" customHeight="1">
      <c r="A770" s="2"/>
      <c r="B770" s="120"/>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5.75" customHeight="1">
      <c r="A771" s="2"/>
      <c r="B771" s="120"/>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5.75" customHeight="1">
      <c r="A772" s="2"/>
      <c r="B772" s="120"/>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5.75" customHeight="1">
      <c r="A773" s="2"/>
      <c r="B773" s="120"/>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5.75" customHeight="1">
      <c r="A774" s="2"/>
      <c r="B774" s="120"/>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5.75" customHeight="1">
      <c r="A775" s="2"/>
      <c r="B775" s="120"/>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5.75" customHeight="1">
      <c r="A776" s="2"/>
      <c r="B776" s="120"/>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5.75" customHeight="1">
      <c r="A777" s="2"/>
      <c r="B777" s="120"/>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5.75" customHeight="1">
      <c r="A778" s="2"/>
      <c r="B778" s="120"/>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5.75" customHeight="1">
      <c r="A779" s="2"/>
      <c r="B779" s="120"/>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5.75" customHeight="1">
      <c r="A780" s="2"/>
      <c r="B780" s="120"/>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5.75" customHeight="1">
      <c r="A781" s="2"/>
      <c r="B781" s="120"/>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5.75" customHeight="1">
      <c r="A782" s="2"/>
      <c r="B782" s="120"/>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5.75" customHeight="1">
      <c r="A783" s="2"/>
      <c r="B783" s="120"/>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5.75" customHeight="1">
      <c r="A784" s="2"/>
      <c r="B784" s="120"/>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5.75" customHeight="1">
      <c r="A785" s="2"/>
      <c r="B785" s="120"/>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5.75" customHeight="1">
      <c r="A786" s="2"/>
      <c r="B786" s="120"/>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5.75" customHeight="1">
      <c r="A787" s="2"/>
      <c r="B787" s="120"/>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5.75" customHeight="1">
      <c r="A788" s="2"/>
      <c r="B788" s="120"/>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5.75" customHeight="1">
      <c r="A789" s="2"/>
      <c r="B789" s="120"/>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5.75" customHeight="1">
      <c r="A790" s="2"/>
      <c r="B790" s="120"/>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5.75" customHeight="1">
      <c r="A791" s="2"/>
      <c r="B791" s="120"/>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5.75" customHeight="1">
      <c r="A792" s="2"/>
      <c r="B792" s="120"/>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5.75" customHeight="1">
      <c r="A793" s="2"/>
      <c r="B793" s="120"/>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5.75" customHeight="1">
      <c r="A794" s="2"/>
      <c r="B794" s="120"/>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5.75" customHeight="1">
      <c r="A795" s="2"/>
      <c r="B795" s="120"/>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5.75" customHeight="1">
      <c r="A796" s="2"/>
      <c r="B796" s="120"/>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5.75" customHeight="1">
      <c r="A797" s="2"/>
      <c r="B797" s="120"/>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5.75" customHeight="1">
      <c r="A798" s="2"/>
      <c r="B798" s="120"/>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5.75" customHeight="1">
      <c r="A799" s="2"/>
      <c r="B799" s="120"/>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5.75" customHeight="1">
      <c r="A800" s="2"/>
      <c r="B800" s="120"/>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5.75" customHeight="1">
      <c r="A801" s="2"/>
      <c r="B801" s="120"/>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5.75" customHeight="1">
      <c r="A802" s="2"/>
      <c r="B802" s="120"/>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5.75" customHeight="1">
      <c r="A803" s="2"/>
      <c r="B803" s="120"/>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5.75" customHeight="1">
      <c r="A804" s="2"/>
      <c r="B804" s="120"/>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5.75" customHeight="1">
      <c r="A805" s="2"/>
      <c r="B805" s="120"/>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5.75" customHeight="1">
      <c r="A806" s="2"/>
      <c r="B806" s="120"/>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5.75" customHeight="1">
      <c r="A807" s="2"/>
      <c r="B807" s="120"/>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5.75" customHeight="1">
      <c r="A808" s="2"/>
      <c r="B808" s="120"/>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5.75" customHeight="1">
      <c r="A809" s="2"/>
      <c r="B809" s="120"/>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5.75" customHeight="1">
      <c r="A810" s="2"/>
      <c r="B810" s="120"/>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5.75" customHeight="1">
      <c r="A811" s="2"/>
      <c r="B811" s="120"/>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5.75" customHeight="1">
      <c r="A812" s="2"/>
      <c r="B812" s="120"/>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5.75" customHeight="1">
      <c r="A813" s="2"/>
      <c r="B813" s="120"/>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5.75" customHeight="1">
      <c r="A814" s="2"/>
      <c r="B814" s="120"/>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5.75" customHeight="1">
      <c r="A815" s="2"/>
      <c r="B815" s="120"/>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5.75" customHeight="1">
      <c r="A816" s="2"/>
      <c r="B816" s="120"/>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5.75" customHeight="1">
      <c r="A817" s="2"/>
      <c r="B817" s="120"/>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5.75" customHeight="1">
      <c r="A818" s="2"/>
      <c r="B818" s="120"/>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5.75" customHeight="1">
      <c r="A819" s="2"/>
      <c r="B819" s="120"/>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5.75" customHeight="1">
      <c r="A820" s="2"/>
      <c r="B820" s="120"/>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5.75" customHeight="1">
      <c r="A821" s="2"/>
      <c r="B821" s="120"/>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5.75" customHeight="1">
      <c r="A822" s="2"/>
      <c r="B822" s="120"/>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5.75" customHeight="1">
      <c r="A823" s="2"/>
      <c r="B823" s="120"/>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5.75" customHeight="1">
      <c r="A824" s="2"/>
      <c r="B824" s="120"/>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5.75" customHeight="1">
      <c r="A825" s="2"/>
      <c r="B825" s="120"/>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5.75" customHeight="1">
      <c r="A826" s="2"/>
      <c r="B826" s="120"/>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5.75" customHeight="1">
      <c r="A827" s="2"/>
      <c r="B827" s="120"/>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5.75" customHeight="1">
      <c r="A828" s="2"/>
      <c r="B828" s="120"/>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5.75" customHeight="1">
      <c r="A829" s="2"/>
      <c r="B829" s="120"/>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5.75" customHeight="1">
      <c r="A830" s="2"/>
      <c r="B830" s="120"/>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5.75" customHeight="1">
      <c r="A831" s="2"/>
      <c r="B831" s="120"/>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5.75" customHeight="1">
      <c r="A832" s="2"/>
      <c r="B832" s="120"/>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5.75" customHeight="1">
      <c r="A833" s="2"/>
      <c r="B833" s="120"/>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5.75" customHeight="1">
      <c r="A834" s="2"/>
      <c r="B834" s="120"/>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5.75" customHeight="1">
      <c r="A835" s="2"/>
      <c r="B835" s="120"/>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5.75" customHeight="1">
      <c r="A836" s="2"/>
      <c r="B836" s="120"/>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5.75" customHeight="1">
      <c r="A837" s="2"/>
      <c r="B837" s="120"/>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5.75" customHeight="1">
      <c r="A838" s="2"/>
      <c r="B838" s="120"/>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5.75" customHeight="1">
      <c r="A839" s="2"/>
      <c r="B839" s="120"/>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5.75" customHeight="1">
      <c r="A840" s="2"/>
      <c r="B840" s="120"/>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5.75" customHeight="1">
      <c r="A841" s="2"/>
      <c r="B841" s="120"/>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5.75" customHeight="1">
      <c r="A842" s="2"/>
      <c r="B842" s="120"/>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5.75" customHeight="1">
      <c r="A843" s="2"/>
      <c r="B843" s="120"/>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5.75" customHeight="1">
      <c r="A844" s="2"/>
      <c r="B844" s="120"/>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5.75" customHeight="1">
      <c r="A845" s="2"/>
      <c r="B845" s="120"/>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5.75" customHeight="1">
      <c r="A846" s="2"/>
      <c r="B846" s="120"/>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5.75" customHeight="1">
      <c r="A847" s="2"/>
      <c r="B847" s="120"/>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5.75" customHeight="1">
      <c r="A848" s="2"/>
      <c r="B848" s="120"/>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5.75" customHeight="1">
      <c r="A849" s="2"/>
      <c r="B849" s="120"/>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5.75" customHeight="1">
      <c r="A850" s="2"/>
      <c r="B850" s="120"/>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5.75" customHeight="1">
      <c r="A851" s="2"/>
      <c r="B851" s="120"/>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5.75" customHeight="1">
      <c r="A852" s="2"/>
      <c r="B852" s="120"/>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5.75" customHeight="1">
      <c r="A853" s="2"/>
      <c r="B853" s="120"/>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5.75" customHeight="1">
      <c r="A854" s="2"/>
      <c r="B854" s="120"/>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5.75" customHeight="1">
      <c r="A855" s="2"/>
      <c r="B855" s="120"/>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5.75" customHeight="1">
      <c r="A856" s="2"/>
      <c r="B856" s="120"/>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5.75" customHeight="1">
      <c r="A857" s="2"/>
      <c r="B857" s="120"/>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5.75" customHeight="1">
      <c r="A858" s="2"/>
      <c r="B858" s="120"/>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5.75" customHeight="1">
      <c r="A859" s="2"/>
      <c r="B859" s="120"/>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5.75" customHeight="1">
      <c r="A860" s="2"/>
      <c r="B860" s="120"/>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5.75" customHeight="1">
      <c r="A861" s="2"/>
      <c r="B861" s="120"/>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5.75" customHeight="1">
      <c r="A862" s="2"/>
      <c r="B862" s="120"/>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5.75" customHeight="1">
      <c r="A863" s="2"/>
      <c r="B863" s="120"/>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5.75" customHeight="1">
      <c r="A864" s="2"/>
      <c r="B864" s="120"/>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5.75" customHeight="1">
      <c r="A865" s="2"/>
      <c r="B865" s="120"/>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5.75" customHeight="1">
      <c r="A866" s="2"/>
      <c r="B866" s="120"/>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5.75" customHeight="1">
      <c r="A867" s="2"/>
      <c r="B867" s="120"/>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5.75" customHeight="1">
      <c r="A868" s="2"/>
      <c r="B868" s="120"/>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5.75" customHeight="1">
      <c r="A869" s="2"/>
      <c r="B869" s="120"/>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5.75" customHeight="1">
      <c r="A870" s="2"/>
      <c r="B870" s="120"/>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5.75" customHeight="1">
      <c r="A871" s="2"/>
      <c r="B871" s="120"/>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5.75" customHeight="1">
      <c r="A872" s="2"/>
      <c r="B872" s="120"/>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5.75" customHeight="1">
      <c r="A873" s="2"/>
      <c r="B873" s="120"/>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5.75" customHeight="1">
      <c r="A874" s="2"/>
      <c r="B874" s="120"/>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5.75" customHeight="1">
      <c r="A875" s="2"/>
      <c r="B875" s="120"/>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5.75" customHeight="1">
      <c r="A876" s="2"/>
      <c r="B876" s="120"/>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5.75" customHeight="1">
      <c r="A877" s="2"/>
      <c r="B877" s="120"/>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5.75" customHeight="1">
      <c r="A878" s="2"/>
      <c r="B878" s="120"/>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5.75" customHeight="1">
      <c r="A879" s="2"/>
      <c r="B879" s="120"/>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5.75" customHeight="1">
      <c r="A880" s="2"/>
      <c r="B880" s="120"/>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5.75" customHeight="1">
      <c r="A881" s="2"/>
      <c r="B881" s="120"/>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5.75" customHeight="1">
      <c r="A882" s="2"/>
      <c r="B882" s="120"/>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5.75" customHeight="1">
      <c r="A883" s="2"/>
      <c r="B883" s="120"/>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5.75" customHeight="1">
      <c r="A884" s="2"/>
      <c r="B884" s="120"/>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5.75" customHeight="1">
      <c r="A885" s="2"/>
      <c r="B885" s="120"/>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5.75" customHeight="1">
      <c r="A886" s="2"/>
      <c r="B886" s="120"/>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5.75" customHeight="1">
      <c r="A887" s="2"/>
      <c r="B887" s="120"/>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5.75" customHeight="1">
      <c r="A888" s="2"/>
      <c r="B888" s="120"/>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5.75" customHeight="1">
      <c r="A889" s="2"/>
      <c r="B889" s="120"/>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5.75" customHeight="1">
      <c r="A890" s="2"/>
      <c r="B890" s="120"/>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5.75" customHeight="1">
      <c r="A891" s="2"/>
      <c r="B891" s="120"/>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5.75" customHeight="1">
      <c r="A892" s="2"/>
      <c r="B892" s="120"/>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5.75" customHeight="1">
      <c r="A893" s="2"/>
      <c r="B893" s="120"/>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5.75" customHeight="1">
      <c r="A894" s="2"/>
      <c r="B894" s="120"/>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5.75" customHeight="1">
      <c r="A895" s="2"/>
      <c r="B895" s="120"/>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5.75" customHeight="1">
      <c r="A896" s="2"/>
      <c r="B896" s="120"/>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5.75" customHeight="1">
      <c r="A897" s="2"/>
      <c r="B897" s="120"/>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5.75" customHeight="1">
      <c r="A898" s="2"/>
      <c r="B898" s="120"/>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5.75" customHeight="1">
      <c r="A899" s="2"/>
      <c r="B899" s="120"/>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5.75" customHeight="1">
      <c r="A900" s="2"/>
      <c r="B900" s="120"/>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5.75" customHeight="1">
      <c r="A901" s="2"/>
      <c r="B901" s="120"/>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5.75" customHeight="1">
      <c r="A902" s="2"/>
      <c r="B902" s="120"/>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5.75" customHeight="1">
      <c r="A903" s="2"/>
      <c r="B903" s="120"/>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5.75" customHeight="1">
      <c r="A904" s="2"/>
      <c r="B904" s="120"/>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5.75" customHeight="1">
      <c r="A905" s="2"/>
      <c r="B905" s="120"/>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5.75" customHeight="1">
      <c r="A906" s="2"/>
      <c r="B906" s="120"/>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5.75" customHeight="1">
      <c r="A907" s="2"/>
      <c r="B907" s="120"/>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5.75" customHeight="1">
      <c r="A908" s="2"/>
      <c r="B908" s="120"/>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5.75" customHeight="1">
      <c r="A909" s="2"/>
      <c r="B909" s="120"/>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5.75" customHeight="1">
      <c r="A910" s="2"/>
      <c r="B910" s="120"/>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5.75" customHeight="1">
      <c r="A911" s="2"/>
      <c r="B911" s="120"/>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5.75" customHeight="1">
      <c r="A912" s="2"/>
      <c r="B912" s="120"/>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5.75" customHeight="1">
      <c r="A913" s="2"/>
      <c r="B913" s="120"/>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5.75" customHeight="1">
      <c r="A914" s="2"/>
      <c r="B914" s="120"/>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5.75" customHeight="1">
      <c r="A915" s="2"/>
      <c r="B915" s="120"/>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5.75" customHeight="1">
      <c r="A916" s="2"/>
      <c r="B916" s="120"/>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5.75" customHeight="1">
      <c r="A917" s="2"/>
      <c r="B917" s="120"/>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5.75" customHeight="1">
      <c r="A918" s="2"/>
      <c r="B918" s="120"/>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5.75" customHeight="1">
      <c r="A919" s="2"/>
      <c r="B919" s="120"/>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5.75" customHeight="1">
      <c r="A920" s="2"/>
      <c r="B920" s="120"/>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5.75" customHeight="1">
      <c r="A921" s="2"/>
      <c r="B921" s="120"/>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5.75" customHeight="1">
      <c r="A922" s="2"/>
      <c r="B922" s="120"/>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5.75" customHeight="1">
      <c r="A923" s="2"/>
      <c r="B923" s="120"/>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5.75" customHeight="1">
      <c r="A924" s="2"/>
      <c r="B924" s="120"/>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5.75" customHeight="1">
      <c r="A925" s="2"/>
      <c r="B925" s="120"/>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5.75" customHeight="1">
      <c r="A926" s="2"/>
      <c r="B926" s="120"/>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5.75" customHeight="1">
      <c r="A927" s="2"/>
      <c r="B927" s="120"/>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5.75" customHeight="1">
      <c r="A928" s="2"/>
      <c r="B928" s="120"/>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5.75" customHeight="1">
      <c r="A929" s="2"/>
      <c r="B929" s="120"/>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5.75" customHeight="1">
      <c r="A930" s="2"/>
      <c r="B930" s="120"/>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5.75" customHeight="1">
      <c r="A931" s="2"/>
      <c r="B931" s="120"/>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5.75" customHeight="1">
      <c r="A932" s="2"/>
      <c r="B932" s="120"/>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5.75" customHeight="1">
      <c r="A933" s="2"/>
      <c r="B933" s="120"/>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5.75" customHeight="1">
      <c r="A934" s="2"/>
      <c r="B934" s="120"/>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5.75" customHeight="1">
      <c r="A935" s="2"/>
      <c r="B935" s="120"/>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5.75" customHeight="1">
      <c r="A936" s="2"/>
      <c r="B936" s="120"/>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5.75" customHeight="1">
      <c r="A937" s="2"/>
      <c r="B937" s="120"/>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5.75" customHeight="1">
      <c r="A938" s="2"/>
      <c r="B938" s="120"/>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5.75" customHeight="1">
      <c r="A939" s="2"/>
      <c r="B939" s="120"/>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5.75" customHeight="1">
      <c r="A940" s="2"/>
      <c r="B940" s="120"/>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5.75" customHeight="1">
      <c r="A941" s="2"/>
      <c r="B941" s="120"/>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5.75" customHeight="1">
      <c r="A942" s="2"/>
      <c r="B942" s="120"/>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5.75" customHeight="1">
      <c r="A943" s="2"/>
      <c r="B943" s="120"/>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5.75" customHeight="1">
      <c r="A944" s="2"/>
      <c r="B944" s="120"/>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5.75" customHeight="1">
      <c r="A945" s="2"/>
      <c r="B945" s="120"/>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5.75" customHeight="1">
      <c r="A946" s="2"/>
      <c r="B946" s="120"/>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5.75" customHeight="1">
      <c r="A947" s="2"/>
      <c r="B947" s="120"/>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5.75" customHeight="1">
      <c r="A948" s="2"/>
      <c r="B948" s="120"/>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5.75" customHeight="1">
      <c r="A949" s="2"/>
      <c r="B949" s="120"/>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5.75" customHeight="1">
      <c r="A950" s="2"/>
      <c r="B950" s="120"/>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5.75" customHeight="1">
      <c r="A951" s="2"/>
      <c r="B951" s="120"/>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5.75" customHeight="1">
      <c r="A952" s="2"/>
      <c r="B952" s="120"/>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5.75" customHeight="1">
      <c r="A953" s="2"/>
      <c r="B953" s="120"/>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5.75" customHeight="1">
      <c r="A954" s="2"/>
      <c r="B954" s="120"/>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5.75" customHeight="1">
      <c r="A955" s="2"/>
      <c r="B955" s="120"/>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5.75" customHeight="1">
      <c r="A956" s="2"/>
      <c r="B956" s="120"/>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5.75" customHeight="1">
      <c r="A957" s="2"/>
      <c r="B957" s="120"/>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5.75" customHeight="1">
      <c r="A958" s="2"/>
      <c r="B958" s="120"/>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5.75" customHeight="1">
      <c r="A959" s="2"/>
      <c r="B959" s="120"/>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5.75" customHeight="1">
      <c r="A960" s="2"/>
      <c r="B960" s="120"/>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5.75" customHeight="1">
      <c r="A961" s="2"/>
      <c r="B961" s="120"/>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5.75" customHeight="1">
      <c r="A962" s="2"/>
      <c r="B962" s="120"/>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5.75" customHeight="1">
      <c r="A963" s="2"/>
      <c r="B963" s="120"/>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5.75" customHeight="1">
      <c r="A964" s="2"/>
      <c r="B964" s="120"/>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5.75" customHeight="1">
      <c r="A965" s="2"/>
      <c r="B965" s="120"/>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5.75" customHeight="1">
      <c r="A966" s="2"/>
      <c r="B966" s="120"/>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5.75" customHeight="1">
      <c r="A967" s="2"/>
      <c r="B967" s="120"/>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5.75" customHeight="1">
      <c r="A968" s="2"/>
      <c r="B968" s="120"/>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5.75" customHeight="1">
      <c r="A969" s="2"/>
      <c r="B969" s="120"/>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5.75" customHeight="1">
      <c r="A970" s="2"/>
      <c r="B970" s="120"/>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5.75" customHeight="1">
      <c r="A971" s="2"/>
      <c r="B971" s="120"/>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5.75" customHeight="1">
      <c r="A972" s="2"/>
      <c r="B972" s="120"/>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5.75" customHeight="1">
      <c r="A973" s="2"/>
      <c r="B973" s="120"/>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5.75" customHeight="1">
      <c r="A974" s="2"/>
      <c r="B974" s="120"/>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5.75" customHeight="1">
      <c r="A975" s="2"/>
      <c r="B975" s="120"/>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5.75" customHeight="1">
      <c r="A976" s="2"/>
      <c r="B976" s="120"/>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5.75" customHeight="1">
      <c r="A977" s="2"/>
      <c r="B977" s="120"/>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5.75" customHeight="1">
      <c r="A978" s="2"/>
      <c r="B978" s="120"/>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5.75" customHeight="1">
      <c r="A979" s="2"/>
      <c r="B979" s="120"/>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5.75" customHeight="1">
      <c r="A980" s="2"/>
      <c r="B980" s="120"/>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5.75" customHeight="1">
      <c r="A981" s="2"/>
      <c r="B981" s="120"/>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5.75" customHeight="1">
      <c r="A982" s="2"/>
      <c r="B982" s="120"/>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5.75" customHeight="1">
      <c r="A983" s="2"/>
      <c r="B983" s="120"/>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5.75" customHeight="1">
      <c r="A984" s="2"/>
      <c r="B984" s="120"/>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5.75" customHeight="1">
      <c r="A985" s="2"/>
      <c r="B985" s="120"/>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5.75" customHeight="1">
      <c r="A986" s="2"/>
      <c r="B986" s="120"/>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5.75" customHeight="1">
      <c r="A987" s="2"/>
      <c r="B987" s="120"/>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5.75" customHeight="1">
      <c r="A988" s="2"/>
      <c r="B988" s="120"/>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5.75" customHeight="1">
      <c r="A989" s="2"/>
      <c r="B989" s="120"/>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5.75" customHeight="1">
      <c r="A990" s="2"/>
      <c r="B990" s="120"/>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5.75" customHeight="1">
      <c r="A991" s="2"/>
      <c r="B991" s="120"/>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5.75" customHeight="1">
      <c r="A992" s="2"/>
      <c r="B992" s="120"/>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5.75" customHeight="1">
      <c r="A993" s="2"/>
      <c r="B993" s="120"/>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5.75" customHeight="1">
      <c r="A994" s="2"/>
      <c r="B994" s="120"/>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5.75" customHeight="1">
      <c r="A995" s="2"/>
      <c r="B995" s="120"/>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5.75" customHeight="1">
      <c r="A996" s="2"/>
      <c r="B996" s="120"/>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5.75" customHeight="1">
      <c r="A997" s="2"/>
      <c r="B997" s="120"/>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5.75" customHeight="1">
      <c r="A998" s="2"/>
      <c r="B998" s="120"/>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5.75" customHeight="1">
      <c r="A999" s="2"/>
      <c r="B999" s="120"/>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5.75" customHeight="1">
      <c r="A1000" s="2"/>
      <c r="B1000" s="120"/>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5.75" customHeight="1">
      <c r="A1001" s="2"/>
      <c r="B1001" s="120"/>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5.75" customHeight="1">
      <c r="A1002" s="2"/>
      <c r="B1002" s="120"/>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5.75" customHeight="1">
      <c r="A1003" s="2"/>
      <c r="B1003" s="120"/>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5.75" customHeight="1">
      <c r="A1004" s="2"/>
      <c r="B1004" s="120"/>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1:28" ht="15.75" customHeight="1">
      <c r="A1005" s="2"/>
      <c r="B1005" s="120"/>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spans="1:28" ht="15.75" customHeight="1">
      <c r="A1006" s="2"/>
      <c r="B1006" s="120"/>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spans="1:28" ht="15.75" customHeight="1">
      <c r="A1007" s="2"/>
      <c r="B1007" s="120"/>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spans="1:28" ht="15.75" customHeight="1">
      <c r="A1008" s="2"/>
      <c r="B1008" s="120"/>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spans="1:28" ht="15.75" customHeight="1">
      <c r="A1009" s="2"/>
      <c r="B1009" s="120"/>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spans="1:28" ht="15.75" customHeight="1">
      <c r="A1010" s="2"/>
      <c r="B1010" s="120"/>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spans="1:28" ht="15.75" customHeight="1">
      <c r="A1011" s="2"/>
      <c r="B1011" s="120"/>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spans="1:28" ht="15.75" customHeight="1">
      <c r="A1012" s="2"/>
      <c r="B1012" s="120"/>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spans="1:28" ht="15.75" customHeight="1">
      <c r="A1013" s="2"/>
      <c r="B1013" s="120"/>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spans="1:28" ht="15.75" customHeight="1">
      <c r="A1014" s="2"/>
      <c r="B1014" s="120"/>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spans="1:28" ht="15.75" customHeight="1">
      <c r="A1015" s="2"/>
      <c r="B1015" s="120"/>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spans="1:28" ht="15.75" customHeight="1">
      <c r="A1016" s="2"/>
      <c r="B1016" s="120"/>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spans="1:28" ht="15.75" customHeight="1">
      <c r="A1017" s="2"/>
      <c r="B1017" s="120"/>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spans="1:28" ht="15.75" customHeight="1">
      <c r="A1018" s="2"/>
      <c r="B1018" s="120"/>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spans="1:28" ht="15.75" customHeight="1">
      <c r="A1019" s="2"/>
      <c r="B1019" s="120"/>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spans="1:28" ht="15.75" customHeight="1">
      <c r="A1020" s="2"/>
      <c r="B1020" s="120"/>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spans="1:28" ht="15.75" customHeight="1">
      <c r="A1021" s="2"/>
      <c r="B1021" s="120"/>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spans="1:28" ht="15.75" customHeight="1">
      <c r="A1022" s="2"/>
      <c r="B1022" s="120"/>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spans="1:28" ht="15.75" customHeight="1">
      <c r="A1023" s="2"/>
      <c r="B1023" s="120"/>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spans="1:28" ht="15.75" customHeight="1">
      <c r="A1024" s="2"/>
      <c r="B1024" s="120"/>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spans="1:28" ht="15.75" customHeight="1">
      <c r="A1025" s="2"/>
      <c r="B1025" s="120"/>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spans="1:28" ht="15.75" customHeight="1">
      <c r="A1026" s="2"/>
      <c r="B1026" s="120"/>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spans="1:28" ht="15.75" customHeight="1">
      <c r="A1027" s="2"/>
      <c r="B1027" s="120"/>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spans="1:28" ht="15.75" customHeight="1">
      <c r="A1028" s="2"/>
      <c r="B1028" s="120"/>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spans="1:28" ht="15.75" customHeight="1">
      <c r="A1029" s="2"/>
      <c r="B1029" s="120"/>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spans="1:28" ht="15.75" customHeight="1">
      <c r="A1030" s="2"/>
      <c r="B1030" s="120"/>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spans="1:28" ht="15.75" customHeight="1">
      <c r="A1031" s="2"/>
      <c r="B1031" s="120"/>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spans="1:28" ht="15.75" customHeight="1">
      <c r="A1032" s="2"/>
      <c r="B1032" s="120"/>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spans="1:28" ht="15.75" customHeight="1">
      <c r="A1033" s="2"/>
      <c r="B1033" s="120"/>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spans="1:28" ht="15.75" customHeight="1">
      <c r="A1034" s="2"/>
      <c r="B1034" s="120"/>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spans="1:28" ht="15.75" customHeight="1">
      <c r="A1035" s="2"/>
      <c r="B1035" s="120"/>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spans="1:28" ht="15.75" customHeight="1">
      <c r="A1036" s="2"/>
      <c r="B1036" s="120"/>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spans="1:28" ht="15.75" customHeight="1">
      <c r="A1037" s="2"/>
      <c r="B1037" s="120"/>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spans="1:28" ht="15.75" customHeight="1">
      <c r="A1038" s="2"/>
      <c r="B1038" s="120"/>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spans="1:28" ht="15.75" customHeight="1">
      <c r="A1039" s="2"/>
      <c r="B1039" s="120"/>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spans="1:28" ht="15.75" customHeight="1">
      <c r="A1040" s="2"/>
      <c r="B1040" s="120"/>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spans="1:28" ht="15.75" customHeight="1">
      <c r="A1041" s="2"/>
      <c r="B1041" s="120"/>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spans="1:28" ht="15.75" customHeight="1">
      <c r="A1042" s="2"/>
      <c r="B1042" s="120"/>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spans="1:28" ht="15.75" customHeight="1">
      <c r="A1043" s="2"/>
      <c r="B1043" s="120"/>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spans="1:28" ht="15.75" customHeight="1">
      <c r="A1044" s="2"/>
      <c r="B1044" s="120"/>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spans="1:28" ht="15.75" customHeight="1">
      <c r="A1045" s="2"/>
      <c r="B1045" s="120"/>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row r="1046" spans="1:28" ht="15.75" customHeight="1">
      <c r="A1046" s="2"/>
      <c r="B1046" s="120"/>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c r="AA1046" s="2"/>
      <c r="AB1046" s="2"/>
    </row>
    <row r="1047" spans="1:28" ht="15.75" customHeight="1">
      <c r="A1047" s="2"/>
      <c r="B1047" s="120"/>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c r="AA1047" s="2"/>
      <c r="AB1047" s="2"/>
    </row>
    <row r="1048" spans="1:28" ht="15.75" customHeight="1">
      <c r="A1048" s="2"/>
      <c r="B1048" s="120"/>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c r="AA1048" s="2"/>
      <c r="AB1048" s="2"/>
    </row>
    <row r="1049" spans="1:28" ht="15.75" customHeight="1">
      <c r="A1049" s="2"/>
      <c r="B1049" s="120"/>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c r="AA1049" s="2"/>
      <c r="AB1049" s="2"/>
    </row>
    <row r="1050" spans="1:28" ht="15.75" customHeight="1">
      <c r="A1050" s="2"/>
      <c r="B1050" s="120"/>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c r="AA1050" s="2"/>
      <c r="AB1050" s="2"/>
    </row>
    <row r="1051" spans="1:28" ht="15.75" customHeight="1">
      <c r="A1051" s="2"/>
      <c r="B1051" s="120"/>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c r="AA1051" s="2"/>
      <c r="AB1051" s="2"/>
    </row>
    <row r="1052" spans="1:28" ht="15.75" customHeight="1">
      <c r="A1052" s="2"/>
      <c r="B1052" s="120"/>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c r="AA1052" s="2"/>
      <c r="AB1052" s="2"/>
    </row>
    <row r="1053" spans="1:28" ht="15.75" customHeight="1">
      <c r="A1053" s="2"/>
      <c r="B1053" s="120"/>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c r="AA1053" s="2"/>
      <c r="AB1053" s="2"/>
    </row>
    <row r="1054" spans="1:28" ht="15.75" customHeight="1">
      <c r="A1054" s="2"/>
      <c r="B1054" s="120"/>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c r="AA1054" s="2"/>
      <c r="AB1054" s="2"/>
    </row>
    <row r="1055" spans="1:28" ht="15.75" customHeight="1">
      <c r="A1055" s="2"/>
      <c r="B1055" s="120"/>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c r="AA1055" s="2"/>
      <c r="AB1055" s="2"/>
    </row>
    <row r="1056" spans="1:28" ht="15.75" customHeight="1">
      <c r="A1056" s="2"/>
      <c r="B1056" s="120"/>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c r="AA1056" s="2"/>
      <c r="AB1056" s="2"/>
    </row>
    <row r="1057" spans="1:28" ht="15.75" customHeight="1">
      <c r="A1057" s="2"/>
      <c r="B1057" s="120"/>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c r="AA1057" s="2"/>
      <c r="AB1057" s="2"/>
    </row>
    <row r="1058" spans="1:28" ht="15.75" customHeight="1">
      <c r="A1058" s="2"/>
      <c r="B1058" s="120"/>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c r="AA1058" s="2"/>
      <c r="AB1058" s="2"/>
    </row>
    <row r="1059" spans="1:28" ht="15.75" customHeight="1">
      <c r="A1059" s="2"/>
      <c r="B1059" s="120"/>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c r="AA1059" s="2"/>
      <c r="AB1059" s="2"/>
    </row>
    <row r="1060" spans="1:28" ht="15.75" customHeight="1">
      <c r="A1060" s="2"/>
      <c r="B1060" s="120"/>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c r="AA1060" s="2"/>
      <c r="AB1060" s="2"/>
    </row>
    <row r="1061" spans="1:28" ht="15.75" customHeight="1">
      <c r="A1061" s="2"/>
      <c r="B1061" s="120"/>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c r="AA1061" s="2"/>
      <c r="AB1061" s="2"/>
    </row>
    <row r="1062" spans="1:28" ht="15.75" customHeight="1">
      <c r="A1062" s="2"/>
      <c r="B1062" s="120"/>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c r="AA1062" s="2"/>
      <c r="AB1062" s="2"/>
    </row>
    <row r="1063" spans="1:28" ht="15.75" customHeight="1">
      <c r="A1063" s="2"/>
      <c r="B1063" s="120"/>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c r="AA1063" s="2"/>
      <c r="AB1063" s="2"/>
    </row>
    <row r="1064" spans="1:28" ht="15.75" customHeight="1">
      <c r="A1064" s="2"/>
      <c r="B1064" s="120"/>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c r="AA1064" s="2"/>
      <c r="AB1064" s="2"/>
    </row>
    <row r="1065" spans="1:28" ht="15.75" customHeight="1">
      <c r="A1065" s="2"/>
      <c r="B1065" s="120"/>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c r="AA1065" s="2"/>
      <c r="AB1065" s="2"/>
    </row>
    <row r="1066" spans="1:28" ht="15.75" customHeight="1">
      <c r="A1066" s="2"/>
      <c r="B1066" s="120"/>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c r="AA1066" s="2"/>
      <c r="AB1066" s="2"/>
    </row>
    <row r="1067" spans="1:28" ht="15.75" customHeight="1">
      <c r="A1067" s="2"/>
      <c r="B1067" s="120"/>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c r="AA1067" s="2"/>
      <c r="AB1067" s="2"/>
    </row>
    <row r="1068" spans="1:28" ht="15.75" customHeight="1">
      <c r="A1068" s="2"/>
      <c r="B1068" s="120"/>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c r="AA1068" s="2"/>
      <c r="AB1068" s="2"/>
    </row>
    <row r="1069" spans="1:28" ht="15.75" customHeight="1">
      <c r="A1069" s="2"/>
      <c r="B1069" s="120"/>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c r="AA1069" s="2"/>
      <c r="AB1069" s="2"/>
    </row>
    <row r="1070" spans="1:28" ht="15.75" customHeight="1">
      <c r="A1070" s="2"/>
      <c r="B1070" s="120"/>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c r="AA1070" s="2"/>
      <c r="AB1070" s="2"/>
    </row>
    <row r="1071" spans="1:28" ht="15.75" customHeight="1">
      <c r="A1071" s="2"/>
      <c r="B1071" s="120"/>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c r="AA1071" s="2"/>
      <c r="AB1071" s="2"/>
    </row>
    <row r="1072" spans="1:28" ht="15.75" customHeight="1">
      <c r="A1072" s="2"/>
      <c r="B1072" s="120"/>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c r="AA1072" s="2"/>
      <c r="AB1072" s="2"/>
    </row>
    <row r="1073" spans="1:28" ht="15.75" customHeight="1">
      <c r="A1073" s="2"/>
      <c r="B1073" s="120"/>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c r="AA1073" s="2"/>
      <c r="AB1073" s="2"/>
    </row>
    <row r="1074" spans="1:28" ht="15.75" customHeight="1">
      <c r="A1074" s="2"/>
      <c r="B1074" s="120"/>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c r="AA1074" s="2"/>
      <c r="AB1074" s="2"/>
    </row>
    <row r="1075" spans="1:28" ht="15.75" customHeight="1">
      <c r="A1075" s="2"/>
      <c r="B1075" s="120"/>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c r="AA1075" s="2"/>
      <c r="AB1075" s="2"/>
    </row>
    <row r="1076" spans="1:28" ht="15.75" customHeight="1">
      <c r="A1076" s="2"/>
      <c r="B1076" s="120"/>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c r="AA1076" s="2"/>
      <c r="AB1076" s="2"/>
    </row>
    <row r="1077" spans="1:28" ht="15.75" customHeight="1">
      <c r="A1077" s="2"/>
      <c r="B1077" s="120"/>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c r="AA1077" s="2"/>
      <c r="AB1077" s="2"/>
    </row>
    <row r="1078" spans="1:28" ht="15.75" customHeight="1">
      <c r="A1078" s="2"/>
      <c r="B1078" s="120"/>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c r="AA1078" s="2"/>
      <c r="AB1078" s="2"/>
    </row>
    <row r="1079" spans="1:28" ht="15.75" customHeight="1">
      <c r="A1079" s="2"/>
      <c r="B1079" s="120"/>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c r="AA1079" s="2"/>
      <c r="AB1079" s="2"/>
    </row>
    <row r="1080" spans="1:28" ht="15.75" customHeight="1">
      <c r="A1080" s="2"/>
      <c r="B1080" s="120"/>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c r="AA1080" s="2"/>
      <c r="AB1080" s="2"/>
    </row>
    <row r="1081" spans="1:28" ht="15.75" customHeight="1">
      <c r="A1081" s="2"/>
      <c r="B1081" s="120"/>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c r="AA1081" s="2"/>
      <c r="AB1081" s="2"/>
    </row>
    <row r="1082" spans="1:28" ht="15.75" customHeight="1">
      <c r="A1082" s="2"/>
      <c r="B1082" s="120"/>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c r="AA1082" s="2"/>
      <c r="AB1082" s="2"/>
    </row>
    <row r="1083" spans="1:28" ht="15.75" customHeight="1">
      <c r="A1083" s="2"/>
      <c r="B1083" s="120"/>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c r="AA1083" s="2"/>
      <c r="AB1083" s="2"/>
    </row>
    <row r="1084" spans="1:28" ht="15.75" customHeight="1">
      <c r="A1084" s="2"/>
      <c r="B1084" s="120"/>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c r="AA1084" s="2"/>
      <c r="AB1084" s="2"/>
    </row>
    <row r="1085" spans="1:28" ht="15.75" customHeight="1">
      <c r="A1085" s="2"/>
      <c r="B1085" s="120"/>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c r="AA1085" s="2"/>
      <c r="AB1085" s="2"/>
    </row>
    <row r="1086" spans="1:28" ht="15.75" customHeight="1">
      <c r="A1086" s="2"/>
      <c r="B1086" s="120"/>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c r="AA1086" s="2"/>
      <c r="AB1086" s="2"/>
    </row>
    <row r="1087" spans="1:28" ht="15.75" customHeight="1">
      <c r="A1087" s="2"/>
      <c r="B1087" s="120"/>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c r="AA1087" s="2"/>
      <c r="AB1087" s="2"/>
    </row>
    <row r="1088" spans="1:28" ht="15.75" customHeight="1">
      <c r="A1088" s="2"/>
      <c r="B1088" s="120"/>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c r="AA1088" s="2"/>
      <c r="AB1088" s="2"/>
    </row>
    <row r="1089" spans="1:28" ht="15.75" customHeight="1">
      <c r="A1089" s="2"/>
      <c r="B1089" s="120"/>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c r="AA1089" s="2"/>
      <c r="AB1089" s="2"/>
    </row>
    <row r="1090" spans="1:28" ht="15.75" customHeight="1">
      <c r="A1090" s="2"/>
      <c r="B1090" s="120"/>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c r="AA1090" s="2"/>
      <c r="AB1090" s="2"/>
    </row>
    <row r="1091" spans="1:28" ht="15.75" customHeight="1">
      <c r="A1091" s="2"/>
      <c r="B1091" s="120"/>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c r="AA1091" s="2"/>
      <c r="AB1091" s="2"/>
    </row>
    <row r="1092" spans="1:28" ht="15.75" customHeight="1">
      <c r="A1092" s="2"/>
      <c r="B1092" s="120"/>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c r="AA1092" s="2"/>
      <c r="AB1092" s="2"/>
    </row>
    <row r="1093" spans="1:28" ht="15.75" customHeight="1">
      <c r="A1093" s="2"/>
      <c r="B1093" s="120"/>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c r="AA1093" s="2"/>
      <c r="AB1093" s="2"/>
    </row>
    <row r="1094" spans="1:28" ht="15.75" customHeight="1">
      <c r="A1094" s="2"/>
      <c r="B1094" s="120"/>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c r="AA1094" s="2"/>
      <c r="AB1094" s="2"/>
    </row>
    <row r="1095" spans="1:28" ht="15.75" customHeight="1">
      <c r="A1095" s="2"/>
      <c r="B1095" s="120"/>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c r="AA1095" s="2"/>
      <c r="AB1095" s="2"/>
    </row>
    <row r="1096" spans="1:28" ht="15.75" customHeight="1">
      <c r="A1096" s="2"/>
      <c r="B1096" s="120"/>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c r="AA1096" s="2"/>
      <c r="AB1096" s="2"/>
    </row>
    <row r="1097" spans="1:28" ht="15.75" customHeight="1">
      <c r="A1097" s="2"/>
      <c r="B1097" s="120"/>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c r="AA1097" s="2"/>
      <c r="AB1097" s="2"/>
    </row>
    <row r="1098" spans="1:28" ht="15.75" customHeight="1">
      <c r="A1098" s="2"/>
      <c r="B1098" s="120"/>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c r="AA1098" s="2"/>
      <c r="AB1098" s="2"/>
    </row>
    <row r="1099" spans="1:28" ht="15.75" customHeight="1">
      <c r="A1099" s="2"/>
      <c r="B1099" s="120"/>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c r="AA1099" s="2"/>
      <c r="AB1099" s="2"/>
    </row>
    <row r="1100" spans="1:28" ht="15.75" customHeight="1">
      <c r="A1100" s="2"/>
      <c r="B1100" s="120"/>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c r="AA1100" s="2"/>
      <c r="AB1100" s="2"/>
    </row>
    <row r="1101" spans="1:28" ht="15.75" customHeight="1">
      <c r="A1101" s="2"/>
      <c r="B1101" s="120"/>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c r="AA1101" s="2"/>
      <c r="AB1101" s="2"/>
    </row>
    <row r="1102" spans="1:28" ht="15.75" customHeight="1">
      <c r="A1102" s="2"/>
      <c r="B1102" s="120"/>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c r="AA1102" s="2"/>
      <c r="AB1102" s="2"/>
    </row>
    <row r="1103" spans="1:28" ht="15.75" customHeight="1">
      <c r="A1103" s="2"/>
      <c r="B1103" s="120"/>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c r="AA1103" s="2"/>
      <c r="AB1103" s="2"/>
    </row>
    <row r="1104" spans="1:28" ht="15.75" customHeight="1">
      <c r="A1104" s="2"/>
      <c r="B1104" s="120"/>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c r="AA1104" s="2"/>
      <c r="AB1104" s="2"/>
    </row>
    <row r="1105" spans="1:28" ht="15.75" customHeight="1">
      <c r="A1105" s="2"/>
      <c r="B1105" s="120"/>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c r="AA1105" s="2"/>
      <c r="AB1105" s="2"/>
    </row>
    <row r="1106" spans="1:28" ht="15.75" customHeight="1">
      <c r="A1106" s="2"/>
      <c r="B1106" s="120"/>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c r="AA1106" s="2"/>
      <c r="AB1106" s="2"/>
    </row>
    <row r="1107" spans="1:28" ht="15.75" customHeight="1">
      <c r="A1107" s="2"/>
      <c r="B1107" s="120"/>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c r="AA1107" s="2"/>
      <c r="AB1107" s="2"/>
    </row>
    <row r="1108" spans="1:28" ht="15.75" customHeight="1">
      <c r="A1108" s="2"/>
      <c r="B1108" s="120"/>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c r="AA1108" s="2"/>
      <c r="AB1108" s="2"/>
    </row>
    <row r="1109" spans="1:28" ht="15.75" customHeight="1">
      <c r="A1109" s="2"/>
      <c r="B1109" s="120"/>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c r="AA1109" s="2"/>
      <c r="AB1109" s="2"/>
    </row>
    <row r="1110" spans="1:28" ht="15.75" customHeight="1">
      <c r="A1110" s="2"/>
      <c r="B1110" s="120"/>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c r="AA1110" s="2"/>
      <c r="AB1110" s="2"/>
    </row>
    <row r="1111" spans="1:28" ht="15.75" customHeight="1">
      <c r="A1111" s="2"/>
      <c r="B1111" s="120"/>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c r="AA1111" s="2"/>
      <c r="AB1111" s="2"/>
    </row>
    <row r="1112" spans="1:28" ht="15.75" customHeight="1">
      <c r="A1112" s="2"/>
      <c r="B1112" s="120"/>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c r="AA1112" s="2"/>
      <c r="AB1112" s="2"/>
    </row>
    <row r="1113" spans="1:28" ht="15.75" customHeight="1">
      <c r="A1113" s="2"/>
      <c r="B1113" s="120"/>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c r="AA1113" s="2"/>
      <c r="AB1113" s="2"/>
    </row>
    <row r="1114" spans="1:28" ht="15.75" customHeight="1">
      <c r="A1114" s="2"/>
      <c r="B1114" s="120"/>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c r="AA1114" s="2"/>
      <c r="AB1114" s="2"/>
    </row>
    <row r="1115" spans="1:28" ht="15.75" customHeight="1">
      <c r="A1115" s="2"/>
      <c r="B1115" s="120"/>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c r="AA1115" s="2"/>
      <c r="AB1115" s="2"/>
    </row>
    <row r="1116" spans="1:28" ht="15.75" customHeight="1">
      <c r="A1116" s="2"/>
      <c r="B1116" s="120"/>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c r="AA1116" s="2"/>
      <c r="AB1116" s="2"/>
    </row>
    <row r="1117" spans="1:28" ht="15.75" customHeight="1">
      <c r="A1117" s="2"/>
      <c r="B1117" s="120"/>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c r="AA1117" s="2"/>
      <c r="AB1117" s="2"/>
    </row>
    <row r="1118" spans="1:28" ht="15.75" customHeight="1">
      <c r="A1118" s="2"/>
      <c r="B1118" s="120"/>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c r="AA1118" s="2"/>
      <c r="AB1118" s="2"/>
    </row>
    <row r="1119" spans="1:28" ht="15.75" customHeight="1">
      <c r="A1119" s="2"/>
      <c r="B1119" s="120"/>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c r="AA1119" s="2"/>
      <c r="AB1119" s="2"/>
    </row>
    <row r="1120" spans="1:28" ht="15.75" customHeight="1">
      <c r="A1120" s="2"/>
      <c r="B1120" s="120"/>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c r="AA1120" s="2"/>
      <c r="AB1120" s="2"/>
    </row>
    <row r="1121" spans="1:28" ht="15.75" customHeight="1">
      <c r="A1121" s="2"/>
      <c r="B1121" s="120"/>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c r="AA1121" s="2"/>
      <c r="AB1121" s="2"/>
    </row>
    <row r="1122" spans="1:28" ht="15.75" customHeight="1">
      <c r="A1122" s="2"/>
      <c r="B1122" s="120"/>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c r="AA1122" s="2"/>
      <c r="AB1122" s="2"/>
    </row>
    <row r="1123" spans="1:28" ht="15.75" customHeight="1">
      <c r="A1123" s="2"/>
      <c r="B1123" s="120"/>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c r="AA1123" s="2"/>
      <c r="AB1123" s="2"/>
    </row>
    <row r="1124" spans="1:28" ht="15.75" customHeight="1">
      <c r="A1124" s="2"/>
      <c r="B1124" s="120"/>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c r="AA1124" s="2"/>
      <c r="AB1124" s="2"/>
    </row>
    <row r="1125" spans="1:28" ht="15.75" customHeight="1">
      <c r="A1125" s="2"/>
      <c r="B1125" s="120"/>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c r="AA1125" s="2"/>
      <c r="AB1125" s="2"/>
    </row>
    <row r="1126" spans="1:28" ht="15.75" customHeight="1">
      <c r="A1126" s="2"/>
      <c r="B1126" s="120"/>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c r="AA1126" s="2"/>
      <c r="AB1126" s="2"/>
    </row>
    <row r="1127" spans="1:28" ht="15.75" customHeight="1">
      <c r="A1127" s="2"/>
      <c r="B1127" s="120"/>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c r="AA1127" s="2"/>
      <c r="AB1127" s="2"/>
    </row>
    <row r="1128" spans="1:28" ht="15.75" customHeight="1">
      <c r="A1128" s="2"/>
      <c r="B1128" s="120"/>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c r="AA1128" s="2"/>
      <c r="AB1128" s="2"/>
    </row>
    <row r="1129" spans="1:28" ht="15.75" customHeight="1">
      <c r="A1129" s="2"/>
      <c r="B1129" s="120"/>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c r="AA1129" s="2"/>
      <c r="AB1129" s="2"/>
    </row>
    <row r="1130" spans="1:28" ht="15.75" customHeight="1">
      <c r="A1130" s="2"/>
      <c r="B1130" s="120"/>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c r="AA1130" s="2"/>
      <c r="AB1130" s="2"/>
    </row>
    <row r="1131" spans="1:28" ht="15.75" customHeight="1">
      <c r="A1131" s="2"/>
      <c r="B1131" s="120"/>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c r="AA1131" s="2"/>
      <c r="AB1131" s="2"/>
    </row>
    <row r="1132" spans="1:28" ht="15.75" customHeight="1">
      <c r="A1132" s="2"/>
      <c r="B1132" s="120"/>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c r="AA1132" s="2"/>
      <c r="AB1132" s="2"/>
    </row>
    <row r="1133" spans="1:28" ht="15.75" customHeight="1">
      <c r="A1133" s="2"/>
      <c r="B1133" s="120"/>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c r="AA1133" s="2"/>
      <c r="AB1133" s="2"/>
    </row>
    <row r="1134" spans="1:28" ht="15.75" customHeight="1">
      <c r="A1134" s="2"/>
      <c r="B1134" s="120"/>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c r="AA1134" s="2"/>
      <c r="AB1134" s="2"/>
    </row>
    <row r="1135" spans="1:28" ht="15.75" customHeight="1">
      <c r="A1135" s="2"/>
      <c r="B1135" s="120"/>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c r="AA1135" s="2"/>
      <c r="AB1135" s="2"/>
    </row>
    <row r="1136" spans="1:28" ht="15.75" customHeight="1">
      <c r="A1136" s="2"/>
      <c r="B1136" s="120"/>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c r="AA1136" s="2"/>
      <c r="AB1136" s="2"/>
    </row>
    <row r="1137" spans="1:28" ht="15.75" customHeight="1">
      <c r="A1137" s="2"/>
      <c r="B1137" s="120"/>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c r="AA1137" s="2"/>
      <c r="AB1137" s="2"/>
    </row>
    <row r="1138" spans="1:28" ht="15.75" customHeight="1">
      <c r="A1138" s="2"/>
      <c r="B1138" s="120"/>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c r="AA1138" s="2"/>
      <c r="AB1138" s="2"/>
    </row>
    <row r="1139" spans="1:28" ht="15.75" customHeight="1">
      <c r="A1139" s="2"/>
      <c r="B1139" s="120"/>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c r="AA1139" s="2"/>
      <c r="AB1139" s="2"/>
    </row>
    <row r="1140" spans="1:28" ht="15.75" customHeight="1">
      <c r="A1140" s="2"/>
      <c r="B1140" s="120"/>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c r="AA1140" s="2"/>
      <c r="AB1140" s="2"/>
    </row>
    <row r="1141" spans="1:28" ht="15.75" customHeight="1">
      <c r="A1141" s="2"/>
      <c r="B1141" s="120"/>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c r="AA1141" s="2"/>
      <c r="AB1141" s="2"/>
    </row>
  </sheetData>
  <mergeCells count="158">
    <mergeCell ref="N73:N77"/>
    <mergeCell ref="C76:C77"/>
    <mergeCell ref="E76:E77"/>
    <mergeCell ref="M7:M11"/>
    <mergeCell ref="N7:N11"/>
    <mergeCell ref="A122:O122"/>
    <mergeCell ref="A123:A132"/>
    <mergeCell ref="B123:B132"/>
    <mergeCell ref="M123:M127"/>
    <mergeCell ref="N123:N127"/>
    <mergeCell ref="O123:O132"/>
    <mergeCell ref="M128:M132"/>
    <mergeCell ref="N128:N132"/>
    <mergeCell ref="D98:D99"/>
    <mergeCell ref="F98:F99"/>
    <mergeCell ref="D87:D88"/>
    <mergeCell ref="F87:F88"/>
    <mergeCell ref="A89:O89"/>
    <mergeCell ref="A90:A99"/>
    <mergeCell ref="B90:B99"/>
    <mergeCell ref="M90:M94"/>
    <mergeCell ref="N90:N94"/>
    <mergeCell ref="O90:O99"/>
    <mergeCell ref="M95:M99"/>
    <mergeCell ref="N95:N99"/>
    <mergeCell ref="C98:C99"/>
    <mergeCell ref="E98:E99"/>
    <mergeCell ref="M2:M6"/>
    <mergeCell ref="N2:N6"/>
    <mergeCell ref="O2:O11"/>
    <mergeCell ref="A2:A11"/>
    <mergeCell ref="A12:O12"/>
    <mergeCell ref="K1:L1"/>
    <mergeCell ref="M1:N1"/>
    <mergeCell ref="G1:H1"/>
    <mergeCell ref="E1:F1"/>
    <mergeCell ref="E10:E11"/>
    <mergeCell ref="F10:F11"/>
    <mergeCell ref="I1:J1"/>
    <mergeCell ref="B2:B11"/>
    <mergeCell ref="C1:D1"/>
    <mergeCell ref="C10:C11"/>
    <mergeCell ref="D10:D11"/>
    <mergeCell ref="A13:A22"/>
    <mergeCell ref="B13:B22"/>
    <mergeCell ref="M13:M17"/>
    <mergeCell ref="N13:N17"/>
    <mergeCell ref="O13:O22"/>
    <mergeCell ref="M18:M22"/>
    <mergeCell ref="N18:N22"/>
    <mergeCell ref="C21:C22"/>
    <mergeCell ref="D21:D22"/>
    <mergeCell ref="E21:E22"/>
    <mergeCell ref="F21:F22"/>
    <mergeCell ref="A23:O23"/>
    <mergeCell ref="A24:A33"/>
    <mergeCell ref="B24:B33"/>
    <mergeCell ref="M24:M28"/>
    <mergeCell ref="N24:N28"/>
    <mergeCell ref="O24:O33"/>
    <mergeCell ref="M29:M33"/>
    <mergeCell ref="N29:N33"/>
    <mergeCell ref="C32:C33"/>
    <mergeCell ref="D32:D33"/>
    <mergeCell ref="E32:E33"/>
    <mergeCell ref="F32:F33"/>
    <mergeCell ref="F76:F77"/>
    <mergeCell ref="O57:O66"/>
    <mergeCell ref="M62:M66"/>
    <mergeCell ref="N62:N66"/>
    <mergeCell ref="C65:C66"/>
    <mergeCell ref="A34:O34"/>
    <mergeCell ref="A35:A44"/>
    <mergeCell ref="B35:B44"/>
    <mergeCell ref="M35:M39"/>
    <mergeCell ref="N35:N39"/>
    <mergeCell ref="O35:O44"/>
    <mergeCell ref="M40:M44"/>
    <mergeCell ref="N40:N44"/>
    <mergeCell ref="C43:C44"/>
    <mergeCell ref="D43:D44"/>
    <mergeCell ref="E43:E44"/>
    <mergeCell ref="F43:F44"/>
    <mergeCell ref="D76:D77"/>
    <mergeCell ref="A68:A77"/>
    <mergeCell ref="B68:B77"/>
    <mergeCell ref="M68:M72"/>
    <mergeCell ref="N68:N72"/>
    <mergeCell ref="O68:O77"/>
    <mergeCell ref="M73:M77"/>
    <mergeCell ref="B57:B66"/>
    <mergeCell ref="M57:M61"/>
    <mergeCell ref="N57:N61"/>
    <mergeCell ref="A45:O45"/>
    <mergeCell ref="A46:A55"/>
    <mergeCell ref="B46:B55"/>
    <mergeCell ref="M46:M50"/>
    <mergeCell ref="N46:N50"/>
    <mergeCell ref="O46:O55"/>
    <mergeCell ref="M51:M55"/>
    <mergeCell ref="N51:N55"/>
    <mergeCell ref="C54:C55"/>
    <mergeCell ref="E54:E55"/>
    <mergeCell ref="E65:E66"/>
    <mergeCell ref="A78:O78"/>
    <mergeCell ref="A79:A88"/>
    <mergeCell ref="B79:B88"/>
    <mergeCell ref="M79:M83"/>
    <mergeCell ref="N79:N83"/>
    <mergeCell ref="O79:O88"/>
    <mergeCell ref="M84:M88"/>
    <mergeCell ref="N84:N88"/>
    <mergeCell ref="C87:C88"/>
    <mergeCell ref="E87:E88"/>
    <mergeCell ref="M134:M138"/>
    <mergeCell ref="N134:N138"/>
    <mergeCell ref="O134:O143"/>
    <mergeCell ref="M139:M143"/>
    <mergeCell ref="N139:N143"/>
    <mergeCell ref="C142:C143"/>
    <mergeCell ref="D142:D143"/>
    <mergeCell ref="E142:E143"/>
    <mergeCell ref="A100:O100"/>
    <mergeCell ref="A112:A121"/>
    <mergeCell ref="B112:B121"/>
    <mergeCell ref="M112:M116"/>
    <mergeCell ref="N112:N116"/>
    <mergeCell ref="O112:O121"/>
    <mergeCell ref="M117:M121"/>
    <mergeCell ref="N117:N121"/>
    <mergeCell ref="C120:C121"/>
    <mergeCell ref="D120:D121"/>
    <mergeCell ref="E120:E121"/>
    <mergeCell ref="F120:F121"/>
    <mergeCell ref="A67:N67"/>
    <mergeCell ref="A56:N56"/>
    <mergeCell ref="F142:F143"/>
    <mergeCell ref="A144:O144"/>
    <mergeCell ref="A101:A110"/>
    <mergeCell ref="B101:B110"/>
    <mergeCell ref="M101:M105"/>
    <mergeCell ref="N101:N105"/>
    <mergeCell ref="O101:O110"/>
    <mergeCell ref="M106:M110"/>
    <mergeCell ref="N106:N110"/>
    <mergeCell ref="C109:C110"/>
    <mergeCell ref="D109:D110"/>
    <mergeCell ref="E109:E110"/>
    <mergeCell ref="F109:F110"/>
    <mergeCell ref="A111:O111"/>
    <mergeCell ref="A57:A66"/>
    <mergeCell ref="C131:C132"/>
    <mergeCell ref="D131:D132"/>
    <mergeCell ref="E131:E132"/>
    <mergeCell ref="F131:F132"/>
    <mergeCell ref="A133:O133"/>
    <mergeCell ref="A134:A143"/>
    <mergeCell ref="B134:B143"/>
  </mergeCells>
  <pageMargins left="0.23622047244094491" right="0.23622047244094491" top="0.74803149606299213" bottom="0.74803149606299213" header="0" footer="0"/>
  <pageSetup scale="35" orientation="landscape" r:id="rId1"/>
  <extLst>
    <ext xmlns:x14="http://schemas.microsoft.com/office/spreadsheetml/2009/9/main" uri="{CCE6A557-97BC-4b89-ADB6-D9C93CAAB3DF}">
      <x14:dataValidations xmlns:xm="http://schemas.microsoft.com/office/excel/2006/main" count="3">
        <x14:dataValidation type="list" showInputMessage="1" showErrorMessage="1" errorTitle="Недопустимо" error="Выберете статус из списка">
          <x14:formula1>
            <xm:f>Доп.!$A$2:$A$7</xm:f>
          </x14:formula1>
          <xm:sqref>D6 D8 D2 H2 H4 H6 F6 D4 F8 F2 L2 H8 J4 J6 J8 J2 L4 L6 F4 L8 D17 D19 D13 H13 H15 H17 F17 D15 F19 F13 L13 H19 J15 J17 J19 J13 L15 L17 F15 L19 D28 D30 D24 H24 H26 H28 F28 D26 F30 F24 L24 H30 J26 J28 J30 J24 L26 L28 F26 L30 D39 D41 D35 H35 H37 H39 F39 D37 F41 F35 L35 H41 J37 J39 J41 J35 L37 L39 F37 L41 D50 D52 D46 H46 H48 H50 F50 D48 F52 F46 L46 H52 J48 J50 J52 J46 L48 L50 F48 L52 D72 D74 D68 H68 H70 H72 F72 D70 F74 F68 L68 H74 J70 J72 J74 J68 L70 L72 F70 L74 D83 D85 D79 H79 H81 H83 F83 D81 F85 F79 L79 H85 J81 J83 J85 J79 L81 L83 F81 L85 D94 D96 D90 H90 H92 H94 F94 D92 F96 F90 L90 H96 J92 J94 J96 J90 L92 L94 F92 L96 D116 D118 D112 F116 D114 F118 F112 J63 F59 L61 L59 J57 J61 J59 F114 H63 D127 D129 D123 H123 H125 H127 F127 D125 F129 F123 L123 H129 J125 J127 J129 J123 L125 L127 F125 L129 D138 D140 D134 H134 H136 H138 F138 D136 F140 F134 L134 H140 J136 J138 J140 J134 L136 L138 F136 L140 D105 D107 D101 F105 D103 F107 F101 F103 L63 D61 D63 D57 H57 H59 H61 F61 D59 F63 F57 L57</xm:sqref>
        </x14:dataValidation>
        <x14:dataValidation type="list" showInputMessage="1" showErrorMessage="1" errorTitle="Недопустимо" error="Выберете статус из списка">
          <x14:formula1>
            <xm:f>Доп.!$C$3:$C$5</xm:f>
          </x14:formula1>
          <xm:sqref>N2:N6 N13:N17 N24:N28 N35:N39 N46:N50 N68:N72 N79:N83 N90:N94 N112:N116 N123:N127 N134:N138 N101:N105 N57:N61</xm:sqref>
        </x14:dataValidation>
        <x14:dataValidation type="list" showInputMessage="1" showErrorMessage="1" errorTitle="Недопустимо" error="Выберете статус из списка">
          <x14:formula1>
            <xm:f>Доп.!$B$2:$B$9</xm:f>
          </x14:formula1>
          <xm:sqref>J101 H101 H103 H105 H107 J103 J105 J107 L101 L103 L105 L107 H112 H114 H116 H118 J112 J114 J116 J118 L112 L114 L116 L118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01"/>
  <sheetViews>
    <sheetView tabSelected="1" zoomScale="90" zoomScaleNormal="90" workbookViewId="0">
      <pane ySplit="6" topLeftCell="A7" activePane="bottomLeft" state="frozen"/>
      <selection pane="bottomLeft" activeCell="J10" sqref="J10"/>
    </sheetView>
  </sheetViews>
  <sheetFormatPr defaultColWidth="14.42578125" defaultRowHeight="15" customHeight="1" outlineLevelCol="1"/>
  <cols>
    <col min="1" max="1" width="7.85546875" customWidth="1"/>
    <col min="2" max="2" width="71.28515625" customWidth="1"/>
    <col min="3" max="3" width="7.140625" customWidth="1"/>
    <col min="4" max="4" width="11.28515625" customWidth="1"/>
    <col min="5" max="5" width="10.42578125" customWidth="1"/>
    <col min="6" max="6" width="16.28515625" customWidth="1" outlineLevel="1"/>
    <col min="7" max="7" width="10.42578125" style="192" customWidth="1"/>
    <col min="8" max="8" width="16.28515625" style="192" customWidth="1" outlineLevel="1"/>
    <col min="9" max="26" width="9.140625" customWidth="1"/>
  </cols>
  <sheetData>
    <row r="1" spans="1:26" ht="17.25" customHeight="1">
      <c r="B1" s="243" t="s">
        <v>44</v>
      </c>
      <c r="C1" s="244"/>
      <c r="D1" s="244"/>
      <c r="E1" s="244"/>
      <c r="F1" s="244"/>
      <c r="G1"/>
      <c r="H1"/>
      <c r="S1" s="2"/>
      <c r="T1" s="2"/>
      <c r="U1" s="2"/>
      <c r="V1" s="2"/>
      <c r="W1" s="2"/>
      <c r="X1" s="2"/>
      <c r="Y1" s="2"/>
      <c r="Z1" s="2"/>
    </row>
    <row r="2" spans="1:26" ht="18.75" customHeight="1">
      <c r="A2" s="10"/>
      <c r="B2" s="245" t="s">
        <v>45</v>
      </c>
      <c r="C2" s="244"/>
      <c r="D2" s="244"/>
      <c r="E2" s="244"/>
      <c r="F2" s="244"/>
      <c r="G2"/>
      <c r="H2"/>
    </row>
    <row r="3" spans="1:26" ht="18.75" customHeight="1">
      <c r="A3" s="246" t="s">
        <v>46</v>
      </c>
      <c r="B3" s="244"/>
      <c r="C3" s="244"/>
      <c r="D3" s="244"/>
      <c r="E3" s="244"/>
      <c r="F3" s="244"/>
      <c r="G3"/>
      <c r="H3"/>
    </row>
    <row r="4" spans="1:26" ht="18.75" customHeight="1">
      <c r="A4" s="247" t="s">
        <v>47</v>
      </c>
      <c r="B4" s="244"/>
      <c r="C4" s="244"/>
      <c r="D4" s="244"/>
      <c r="E4" s="244"/>
      <c r="F4" s="244"/>
      <c r="G4"/>
      <c r="H4"/>
    </row>
    <row r="5" spans="1:26" ht="33.75" customHeight="1">
      <c r="A5" s="248" t="s">
        <v>48</v>
      </c>
      <c r="B5" s="248" t="s">
        <v>1</v>
      </c>
      <c r="C5" s="248" t="s">
        <v>49</v>
      </c>
      <c r="D5" s="248" t="s">
        <v>50</v>
      </c>
      <c r="E5" s="11" t="s">
        <v>51</v>
      </c>
      <c r="F5" s="11" t="s">
        <v>52</v>
      </c>
      <c r="G5" s="11" t="s">
        <v>51</v>
      </c>
      <c r="H5" s="11" t="s">
        <v>52</v>
      </c>
    </row>
    <row r="6" spans="1:26" s="192" customFormat="1" ht="20.25" customHeight="1">
      <c r="A6" s="249"/>
      <c r="B6" s="249"/>
      <c r="C6" s="249"/>
      <c r="D6" s="249"/>
      <c r="E6" s="250" t="s">
        <v>364</v>
      </c>
      <c r="F6" s="251"/>
      <c r="G6" s="250" t="s">
        <v>365</v>
      </c>
      <c r="H6" s="251"/>
    </row>
    <row r="7" spans="1:26" ht="20.25" customHeight="1">
      <c r="A7" s="12" t="s">
        <v>136</v>
      </c>
      <c r="B7" s="24" t="s">
        <v>137</v>
      </c>
      <c r="C7" s="25"/>
      <c r="D7" s="15"/>
      <c r="E7" s="15"/>
      <c r="F7" s="15"/>
      <c r="G7" s="15"/>
      <c r="H7" s="15"/>
      <c r="I7" s="16"/>
      <c r="J7" s="16"/>
      <c r="K7" s="16"/>
      <c r="L7" s="16"/>
      <c r="M7" s="16"/>
      <c r="N7" s="16"/>
      <c r="O7" s="16"/>
      <c r="P7" s="16"/>
      <c r="Q7" s="16"/>
      <c r="R7" s="16"/>
      <c r="S7" s="16"/>
      <c r="T7" s="16"/>
      <c r="U7" s="16"/>
      <c r="V7" s="16"/>
      <c r="W7" s="16"/>
      <c r="X7" s="16"/>
      <c r="Y7" s="16"/>
      <c r="Z7" s="16"/>
    </row>
    <row r="8" spans="1:26" ht="15.75" customHeight="1">
      <c r="A8" s="17" t="s">
        <v>138</v>
      </c>
      <c r="B8" s="18" t="s">
        <v>139</v>
      </c>
      <c r="C8" s="28" t="s">
        <v>58</v>
      </c>
      <c r="D8" s="20">
        <v>120</v>
      </c>
      <c r="E8" s="20">
        <v>370</v>
      </c>
      <c r="F8" s="20">
        <f>D8*E8</f>
        <v>44400</v>
      </c>
      <c r="G8" s="21"/>
      <c r="H8" s="21">
        <f>G8*D8</f>
        <v>0</v>
      </c>
      <c r="I8" s="2"/>
      <c r="J8" s="2"/>
      <c r="K8" s="2"/>
      <c r="L8" s="2"/>
      <c r="M8" s="2"/>
      <c r="N8" s="2"/>
      <c r="O8" s="2"/>
      <c r="P8" s="2"/>
      <c r="Q8" s="2"/>
      <c r="R8" s="2"/>
      <c r="S8" s="2"/>
      <c r="T8" s="2"/>
      <c r="U8" s="2"/>
      <c r="V8" s="2"/>
      <c r="W8" s="2"/>
      <c r="X8" s="2"/>
      <c r="Y8" s="2"/>
      <c r="Z8" s="2"/>
    </row>
    <row r="9" spans="1:26" ht="15.75" customHeight="1">
      <c r="A9" s="17" t="s">
        <v>140</v>
      </c>
      <c r="B9" s="18" t="s">
        <v>141</v>
      </c>
      <c r="C9" s="29" t="s">
        <v>58</v>
      </c>
      <c r="D9" s="20">
        <v>18.72</v>
      </c>
      <c r="E9" s="20">
        <v>350</v>
      </c>
      <c r="F9" s="20">
        <f>D9*E9</f>
        <v>6552</v>
      </c>
      <c r="G9" s="21"/>
      <c r="H9" s="21">
        <f t="shared" ref="H9:H72" si="0">G9*D9</f>
        <v>0</v>
      </c>
      <c r="I9" s="2"/>
      <c r="J9" s="2"/>
      <c r="K9" s="2"/>
      <c r="L9" s="2"/>
      <c r="M9" s="2"/>
      <c r="N9" s="2"/>
      <c r="O9" s="2"/>
      <c r="P9" s="2"/>
      <c r="Q9" s="2"/>
      <c r="R9" s="2"/>
      <c r="S9" s="2"/>
      <c r="T9" s="2"/>
      <c r="U9" s="2"/>
      <c r="V9" s="2"/>
      <c r="W9" s="2"/>
      <c r="X9" s="2"/>
      <c r="Y9" s="2"/>
      <c r="Z9" s="2"/>
    </row>
    <row r="10" spans="1:26" ht="15.75" customHeight="1">
      <c r="A10" s="17" t="s">
        <v>142</v>
      </c>
      <c r="B10" s="18" t="s">
        <v>143</v>
      </c>
      <c r="C10" s="27" t="s">
        <v>144</v>
      </c>
      <c r="D10" s="20">
        <v>60.88</v>
      </c>
      <c r="E10" s="20">
        <v>150</v>
      </c>
      <c r="F10" s="20">
        <f>D10*E10</f>
        <v>9132</v>
      </c>
      <c r="G10" s="21"/>
      <c r="H10" s="21">
        <f t="shared" si="0"/>
        <v>0</v>
      </c>
      <c r="I10" s="2"/>
      <c r="J10" s="2"/>
      <c r="K10" s="2"/>
      <c r="L10" s="2"/>
      <c r="M10" s="2"/>
      <c r="N10" s="2"/>
      <c r="O10" s="2"/>
      <c r="P10" s="2"/>
      <c r="Q10" s="2"/>
      <c r="R10" s="2"/>
      <c r="S10" s="2"/>
      <c r="T10" s="2"/>
      <c r="U10" s="2"/>
      <c r="V10" s="2"/>
      <c r="W10" s="2"/>
      <c r="X10" s="2"/>
      <c r="Y10" s="2"/>
      <c r="Z10" s="2"/>
    </row>
    <row r="11" spans="1:26" ht="15.75" customHeight="1">
      <c r="A11" s="17" t="s">
        <v>145</v>
      </c>
      <c r="B11" s="18" t="s">
        <v>146</v>
      </c>
      <c r="C11" s="27" t="s">
        <v>58</v>
      </c>
      <c r="D11" s="20">
        <v>195.84</v>
      </c>
      <c r="E11" s="20">
        <v>250</v>
      </c>
      <c r="F11" s="20">
        <f>D11*E11</f>
        <v>48960</v>
      </c>
      <c r="G11" s="21"/>
      <c r="H11" s="21">
        <f t="shared" si="0"/>
        <v>0</v>
      </c>
      <c r="I11" s="2"/>
      <c r="J11" s="2"/>
      <c r="K11" s="2"/>
      <c r="L11" s="2"/>
      <c r="M11" s="2"/>
      <c r="N11" s="2"/>
      <c r="O11" s="2"/>
      <c r="P11" s="2"/>
      <c r="Q11" s="2"/>
      <c r="R11" s="2"/>
      <c r="S11" s="2"/>
      <c r="T11" s="2"/>
      <c r="U11" s="2"/>
      <c r="V11" s="2"/>
      <c r="W11" s="2"/>
      <c r="X11" s="2"/>
      <c r="Y11" s="2"/>
      <c r="Z11" s="2"/>
    </row>
    <row r="12" spans="1:26" ht="20.25" customHeight="1">
      <c r="A12" s="12" t="s">
        <v>151</v>
      </c>
      <c r="B12" s="24" t="s">
        <v>152</v>
      </c>
      <c r="C12" s="26"/>
      <c r="D12" s="15"/>
      <c r="E12" s="15"/>
      <c r="F12" s="15"/>
      <c r="G12" s="15"/>
      <c r="H12" s="21">
        <f t="shared" si="0"/>
        <v>0</v>
      </c>
      <c r="I12" s="16"/>
      <c r="J12" s="16"/>
      <c r="K12" s="16"/>
      <c r="L12" s="16"/>
      <c r="M12" s="16"/>
      <c r="N12" s="16"/>
      <c r="O12" s="16"/>
      <c r="P12" s="16"/>
      <c r="Q12" s="16"/>
      <c r="R12" s="16"/>
      <c r="S12" s="16"/>
      <c r="T12" s="16"/>
      <c r="U12" s="16"/>
      <c r="V12" s="16"/>
      <c r="W12" s="16"/>
      <c r="X12" s="16"/>
      <c r="Y12" s="16"/>
      <c r="Z12" s="16"/>
    </row>
    <row r="13" spans="1:26" ht="18.75" customHeight="1">
      <c r="A13" s="17" t="s">
        <v>153</v>
      </c>
      <c r="B13" s="18" t="s">
        <v>154</v>
      </c>
      <c r="C13" s="22" t="s">
        <v>144</v>
      </c>
      <c r="D13" s="20">
        <v>1770</v>
      </c>
      <c r="E13" s="20">
        <v>120</v>
      </c>
      <c r="F13" s="20">
        <f>D13*E13</f>
        <v>212400</v>
      </c>
      <c r="G13" s="21"/>
      <c r="H13" s="21">
        <f t="shared" si="0"/>
        <v>0</v>
      </c>
      <c r="I13" s="2"/>
      <c r="J13" s="2"/>
      <c r="K13" s="2"/>
      <c r="L13" s="2"/>
      <c r="M13" s="2"/>
      <c r="N13" s="2"/>
      <c r="O13" s="2"/>
      <c r="P13" s="2"/>
      <c r="Q13" s="2"/>
      <c r="R13" s="2"/>
      <c r="S13" s="2"/>
      <c r="T13" s="2"/>
      <c r="U13" s="2"/>
      <c r="V13" s="2"/>
      <c r="W13" s="2"/>
      <c r="X13" s="2"/>
      <c r="Y13" s="2"/>
      <c r="Z13" s="2"/>
    </row>
    <row r="14" spans="1:26" ht="33" customHeight="1">
      <c r="A14" s="17" t="s">
        <v>155</v>
      </c>
      <c r="B14" s="18" t="s">
        <v>156</v>
      </c>
      <c r="C14" s="22" t="s">
        <v>96</v>
      </c>
      <c r="D14" s="20">
        <v>40</v>
      </c>
      <c r="E14" s="31">
        <v>750</v>
      </c>
      <c r="F14" s="31">
        <f>D14*E14</f>
        <v>30000</v>
      </c>
      <c r="G14" s="31"/>
      <c r="H14" s="21">
        <f t="shared" si="0"/>
        <v>0</v>
      </c>
      <c r="I14" s="2"/>
      <c r="J14" s="2"/>
      <c r="K14" s="2"/>
      <c r="L14" s="2"/>
      <c r="M14" s="2"/>
      <c r="N14" s="2"/>
      <c r="O14" s="2"/>
      <c r="P14" s="2"/>
      <c r="Q14" s="2"/>
      <c r="R14" s="2"/>
      <c r="S14" s="2"/>
      <c r="T14" s="2"/>
      <c r="U14" s="2"/>
      <c r="V14" s="2"/>
      <c r="W14" s="2"/>
      <c r="X14" s="2"/>
      <c r="Y14" s="2"/>
      <c r="Z14" s="2"/>
    </row>
    <row r="15" spans="1:26" ht="18.75" customHeight="1">
      <c r="A15" s="17" t="s">
        <v>157</v>
      </c>
      <c r="B15" s="18" t="s">
        <v>158</v>
      </c>
      <c r="C15" s="22" t="s">
        <v>96</v>
      </c>
      <c r="D15" s="20">
        <v>8</v>
      </c>
      <c r="E15" s="31">
        <v>1800</v>
      </c>
      <c r="F15" s="31">
        <f>D15*E15</f>
        <v>14400</v>
      </c>
      <c r="G15" s="31"/>
      <c r="H15" s="21">
        <f t="shared" si="0"/>
        <v>0</v>
      </c>
      <c r="I15" s="2"/>
      <c r="J15" s="2"/>
      <c r="K15" s="2"/>
      <c r="L15" s="2"/>
      <c r="M15" s="2"/>
      <c r="N15" s="2"/>
      <c r="O15" s="2"/>
      <c r="P15" s="2"/>
      <c r="Q15" s="2"/>
      <c r="R15" s="2"/>
      <c r="S15" s="2"/>
      <c r="T15" s="2"/>
      <c r="U15" s="2"/>
      <c r="V15" s="2"/>
      <c r="W15" s="2"/>
      <c r="X15" s="2"/>
      <c r="Y15" s="2"/>
      <c r="Z15" s="2"/>
    </row>
    <row r="16" spans="1:26" ht="16.5" customHeight="1">
      <c r="A16" s="17" t="s">
        <v>159</v>
      </c>
      <c r="B16" s="18" t="s">
        <v>160</v>
      </c>
      <c r="C16" s="22" t="s">
        <v>96</v>
      </c>
      <c r="D16" s="20">
        <v>8</v>
      </c>
      <c r="E16" s="31">
        <v>350</v>
      </c>
      <c r="F16" s="31">
        <f>D16*E16</f>
        <v>2800</v>
      </c>
      <c r="G16" s="31"/>
      <c r="H16" s="21">
        <f t="shared" si="0"/>
        <v>0</v>
      </c>
      <c r="I16" s="2"/>
      <c r="J16" s="2"/>
      <c r="K16" s="2"/>
      <c r="L16" s="2"/>
      <c r="M16" s="2"/>
      <c r="N16" s="2"/>
      <c r="O16" s="2"/>
      <c r="P16" s="2"/>
      <c r="Q16" s="2"/>
      <c r="R16" s="2"/>
      <c r="S16" s="2"/>
      <c r="T16" s="2"/>
      <c r="U16" s="2"/>
      <c r="V16" s="2"/>
      <c r="W16" s="2"/>
      <c r="X16" s="2"/>
      <c r="Y16" s="2"/>
      <c r="Z16" s="2"/>
    </row>
    <row r="17" spans="1:26" ht="18" customHeight="1">
      <c r="A17" s="17" t="s">
        <v>161</v>
      </c>
      <c r="B17" s="18" t="s">
        <v>162</v>
      </c>
      <c r="C17" s="22" t="s">
        <v>96</v>
      </c>
      <c r="D17" s="20">
        <v>8</v>
      </c>
      <c r="E17" s="31">
        <v>600</v>
      </c>
      <c r="F17" s="31">
        <f>D17*E17</f>
        <v>4800</v>
      </c>
      <c r="G17" s="31"/>
      <c r="H17" s="21">
        <f t="shared" si="0"/>
        <v>0</v>
      </c>
      <c r="I17" s="2"/>
      <c r="J17" s="2"/>
      <c r="K17" s="2"/>
      <c r="L17" s="2"/>
      <c r="M17" s="2"/>
      <c r="N17" s="2"/>
      <c r="O17" s="2"/>
      <c r="P17" s="2"/>
      <c r="Q17" s="2"/>
      <c r="R17" s="2"/>
      <c r="S17" s="2"/>
      <c r="T17" s="2"/>
      <c r="U17" s="2"/>
      <c r="V17" s="2"/>
      <c r="W17" s="2"/>
      <c r="X17" s="2"/>
      <c r="Y17" s="2"/>
      <c r="Z17" s="2"/>
    </row>
    <row r="18" spans="1:26" ht="17.25" customHeight="1">
      <c r="A18" s="17" t="s">
        <v>163</v>
      </c>
      <c r="B18" s="18" t="s">
        <v>164</v>
      </c>
      <c r="C18" s="22" t="s">
        <v>96</v>
      </c>
      <c r="D18" s="20">
        <v>48</v>
      </c>
      <c r="E18" s="31">
        <v>250</v>
      </c>
      <c r="F18" s="31">
        <f>D18*E18</f>
        <v>12000</v>
      </c>
      <c r="G18" s="31"/>
      <c r="H18" s="21">
        <f t="shared" si="0"/>
        <v>0</v>
      </c>
      <c r="I18" s="2"/>
      <c r="J18" s="2"/>
      <c r="K18" s="2"/>
      <c r="L18" s="2"/>
      <c r="M18" s="2"/>
      <c r="N18" s="2"/>
      <c r="O18" s="2"/>
      <c r="P18" s="2"/>
      <c r="Q18" s="2"/>
      <c r="R18" s="2"/>
      <c r="S18" s="2"/>
      <c r="T18" s="2"/>
      <c r="U18" s="2"/>
      <c r="V18" s="2"/>
      <c r="W18" s="2"/>
      <c r="X18" s="2"/>
      <c r="Y18" s="2"/>
      <c r="Z18" s="2"/>
    </row>
    <row r="19" spans="1:26" ht="17.25" customHeight="1">
      <c r="A19" s="17" t="s">
        <v>165</v>
      </c>
      <c r="B19" s="18" t="s">
        <v>359</v>
      </c>
      <c r="C19" s="22" t="s">
        <v>96</v>
      </c>
      <c r="D19" s="20">
        <v>64</v>
      </c>
      <c r="E19" s="31">
        <v>100</v>
      </c>
      <c r="F19" s="31">
        <f>D19*E19</f>
        <v>6400</v>
      </c>
      <c r="G19" s="31"/>
      <c r="H19" s="21">
        <f t="shared" si="0"/>
        <v>0</v>
      </c>
      <c r="I19" s="2"/>
      <c r="J19" s="2"/>
      <c r="K19" s="2"/>
      <c r="L19" s="2"/>
      <c r="M19" s="2"/>
      <c r="N19" s="2"/>
      <c r="O19" s="2"/>
      <c r="P19" s="2"/>
      <c r="Q19" s="2"/>
      <c r="R19" s="2"/>
      <c r="S19" s="2"/>
      <c r="T19" s="2"/>
      <c r="U19" s="2"/>
      <c r="V19" s="2"/>
      <c r="W19" s="2"/>
      <c r="X19" s="2"/>
      <c r="Y19" s="2"/>
      <c r="Z19" s="2"/>
    </row>
    <row r="20" spans="1:26" ht="20.25" customHeight="1">
      <c r="A20" s="12" t="s">
        <v>168</v>
      </c>
      <c r="B20" s="24" t="s">
        <v>169</v>
      </c>
      <c r="C20" s="26"/>
      <c r="D20" s="15"/>
      <c r="E20" s="32"/>
      <c r="F20" s="32"/>
      <c r="G20" s="32"/>
      <c r="H20" s="21">
        <f t="shared" si="0"/>
        <v>0</v>
      </c>
      <c r="I20" s="16"/>
      <c r="J20" s="16"/>
      <c r="K20" s="16"/>
      <c r="L20" s="16"/>
      <c r="M20" s="16"/>
      <c r="N20" s="16"/>
      <c r="O20" s="16"/>
      <c r="P20" s="16"/>
      <c r="Q20" s="16"/>
      <c r="R20" s="16"/>
      <c r="S20" s="16"/>
      <c r="T20" s="16"/>
      <c r="U20" s="16"/>
      <c r="V20" s="16"/>
      <c r="W20" s="16"/>
      <c r="X20" s="16"/>
      <c r="Y20" s="16"/>
      <c r="Z20" s="16"/>
    </row>
    <row r="21" spans="1:26" ht="17.25" customHeight="1">
      <c r="A21" s="17" t="s">
        <v>170</v>
      </c>
      <c r="B21" s="18" t="s">
        <v>171</v>
      </c>
      <c r="C21" s="22" t="s">
        <v>67</v>
      </c>
      <c r="D21" s="20">
        <v>24</v>
      </c>
      <c r="E21" s="31">
        <v>400</v>
      </c>
      <c r="F21" s="31">
        <f>D21*E21</f>
        <v>9600</v>
      </c>
      <c r="G21" s="31"/>
      <c r="H21" s="21">
        <f t="shared" si="0"/>
        <v>0</v>
      </c>
      <c r="I21" s="2"/>
      <c r="J21" s="2"/>
      <c r="K21" s="2"/>
      <c r="L21" s="2"/>
      <c r="M21" s="2"/>
      <c r="N21" s="2"/>
      <c r="O21" s="2"/>
      <c r="P21" s="2"/>
      <c r="Q21" s="2"/>
      <c r="R21" s="2"/>
      <c r="S21" s="2"/>
      <c r="T21" s="2"/>
      <c r="U21" s="2"/>
      <c r="V21" s="2"/>
      <c r="W21" s="2"/>
      <c r="X21" s="2"/>
      <c r="Y21" s="2"/>
      <c r="Z21" s="2"/>
    </row>
    <row r="22" spans="1:26" ht="18.75" customHeight="1">
      <c r="A22" s="12" t="s">
        <v>172</v>
      </c>
      <c r="B22" s="13" t="s">
        <v>173</v>
      </c>
      <c r="C22" s="14"/>
      <c r="D22" s="15"/>
      <c r="E22" s="32"/>
      <c r="F22" s="32"/>
      <c r="G22" s="32"/>
      <c r="H22" s="21">
        <f t="shared" si="0"/>
        <v>0</v>
      </c>
      <c r="I22" s="33"/>
      <c r="J22" s="33"/>
      <c r="K22" s="33"/>
      <c r="L22" s="33"/>
      <c r="M22" s="33"/>
      <c r="N22" s="33"/>
      <c r="O22" s="33"/>
      <c r="P22" s="33"/>
      <c r="Q22" s="33"/>
      <c r="R22" s="33"/>
      <c r="S22" s="33"/>
      <c r="T22" s="33"/>
      <c r="U22" s="33"/>
      <c r="V22" s="33"/>
      <c r="W22" s="33"/>
      <c r="X22" s="33"/>
      <c r="Y22" s="33"/>
      <c r="Z22" s="33"/>
    </row>
    <row r="23" spans="1:26" ht="37.5" customHeight="1">
      <c r="A23" s="17" t="s">
        <v>174</v>
      </c>
      <c r="B23" s="18" t="s">
        <v>175</v>
      </c>
      <c r="C23" s="19" t="s">
        <v>58</v>
      </c>
      <c r="D23" s="20">
        <v>355.44</v>
      </c>
      <c r="E23" s="31">
        <v>580</v>
      </c>
      <c r="F23" s="31">
        <f>D23*E23</f>
        <v>206155.2</v>
      </c>
      <c r="G23" s="31"/>
      <c r="H23" s="21">
        <f t="shared" si="0"/>
        <v>0</v>
      </c>
      <c r="I23" s="2"/>
      <c r="J23" s="2"/>
      <c r="K23" s="2"/>
      <c r="L23" s="2"/>
      <c r="M23" s="2"/>
      <c r="N23" s="2"/>
      <c r="O23" s="2"/>
      <c r="P23" s="2"/>
      <c r="Q23" s="2"/>
      <c r="R23" s="2"/>
      <c r="S23" s="2"/>
      <c r="T23" s="2"/>
      <c r="U23" s="2"/>
      <c r="V23" s="2"/>
      <c r="W23" s="2"/>
      <c r="X23" s="2"/>
      <c r="Y23" s="2"/>
      <c r="Z23" s="2"/>
    </row>
    <row r="24" spans="1:26" ht="18.75" customHeight="1">
      <c r="A24" s="12" t="s">
        <v>176</v>
      </c>
      <c r="B24" s="13" t="s">
        <v>177</v>
      </c>
      <c r="C24" s="14"/>
      <c r="D24" s="15"/>
      <c r="E24" s="32"/>
      <c r="F24" s="32"/>
      <c r="G24" s="32"/>
      <c r="H24" s="21">
        <f t="shared" si="0"/>
        <v>0</v>
      </c>
      <c r="I24" s="33"/>
      <c r="J24" s="33"/>
      <c r="K24" s="33"/>
      <c r="L24" s="33"/>
      <c r="M24" s="33"/>
      <c r="N24" s="33"/>
      <c r="O24" s="33"/>
      <c r="P24" s="33"/>
      <c r="Q24" s="33"/>
      <c r="R24" s="33"/>
      <c r="S24" s="33"/>
      <c r="T24" s="33"/>
      <c r="U24" s="33"/>
      <c r="V24" s="33"/>
      <c r="W24" s="33"/>
      <c r="X24" s="33"/>
      <c r="Y24" s="33"/>
      <c r="Z24" s="33"/>
    </row>
    <row r="25" spans="1:26" ht="30.75" customHeight="1">
      <c r="A25" s="17" t="s">
        <v>178</v>
      </c>
      <c r="B25" s="18" t="s">
        <v>179</v>
      </c>
      <c r="C25" s="19" t="s">
        <v>58</v>
      </c>
      <c r="D25" s="20">
        <v>205</v>
      </c>
      <c r="E25" s="31">
        <v>580</v>
      </c>
      <c r="F25" s="31">
        <f>D25*E25</f>
        <v>118900</v>
      </c>
      <c r="G25" s="31"/>
      <c r="H25" s="21">
        <f t="shared" si="0"/>
        <v>0</v>
      </c>
      <c r="I25" s="2"/>
      <c r="J25" s="2"/>
      <c r="K25" s="2"/>
      <c r="L25" s="2"/>
      <c r="M25" s="2"/>
      <c r="N25" s="2"/>
      <c r="O25" s="2"/>
      <c r="P25" s="2"/>
      <c r="Q25" s="2"/>
      <c r="R25" s="2"/>
      <c r="S25" s="2"/>
      <c r="T25" s="2"/>
      <c r="U25" s="2"/>
      <c r="V25" s="2"/>
      <c r="W25" s="2"/>
      <c r="X25" s="2"/>
      <c r="Y25" s="2"/>
      <c r="Z25" s="2"/>
    </row>
    <row r="26" spans="1:26" ht="18.75" customHeight="1">
      <c r="A26" s="17" t="s">
        <v>180</v>
      </c>
      <c r="B26" s="18" t="s">
        <v>181</v>
      </c>
      <c r="C26" s="19" t="s">
        <v>58</v>
      </c>
      <c r="D26" s="20">
        <v>16</v>
      </c>
      <c r="E26" s="31">
        <v>150</v>
      </c>
      <c r="F26" s="31">
        <f>D26*E26</f>
        <v>2400</v>
      </c>
      <c r="G26" s="31"/>
      <c r="H26" s="21">
        <f t="shared" si="0"/>
        <v>0</v>
      </c>
      <c r="I26" s="2"/>
      <c r="J26" s="2"/>
      <c r="K26" s="2"/>
      <c r="L26" s="2"/>
      <c r="M26" s="2"/>
      <c r="N26" s="2"/>
      <c r="O26" s="2"/>
      <c r="P26" s="2"/>
      <c r="Q26" s="2"/>
      <c r="R26" s="2"/>
      <c r="S26" s="2"/>
      <c r="T26" s="2"/>
      <c r="U26" s="2"/>
      <c r="V26" s="2"/>
      <c r="W26" s="2"/>
      <c r="X26" s="2"/>
      <c r="Y26" s="2"/>
      <c r="Z26" s="2"/>
    </row>
    <row r="27" spans="1:26" ht="20.25" customHeight="1">
      <c r="A27" s="12" t="s">
        <v>182</v>
      </c>
      <c r="B27" s="24" t="s">
        <v>183</v>
      </c>
      <c r="C27" s="26"/>
      <c r="D27" s="15"/>
      <c r="E27" s="32"/>
      <c r="F27" s="32"/>
      <c r="G27" s="32"/>
      <c r="H27" s="21">
        <f t="shared" si="0"/>
        <v>0</v>
      </c>
      <c r="I27" s="34"/>
      <c r="J27" s="16"/>
      <c r="K27" s="16"/>
      <c r="L27" s="16"/>
      <c r="M27" s="16"/>
      <c r="N27" s="16"/>
      <c r="O27" s="16"/>
      <c r="P27" s="16"/>
      <c r="Q27" s="16"/>
      <c r="R27" s="16"/>
      <c r="S27" s="16"/>
      <c r="T27" s="16"/>
      <c r="U27" s="16"/>
      <c r="V27" s="16"/>
      <c r="W27" s="16"/>
      <c r="X27" s="16"/>
      <c r="Y27" s="16"/>
      <c r="Z27" s="16"/>
    </row>
    <row r="28" spans="1:26" ht="18.75" customHeight="1">
      <c r="A28" s="17" t="s">
        <v>184</v>
      </c>
      <c r="B28" s="18" t="s">
        <v>185</v>
      </c>
      <c r="C28" s="19" t="s">
        <v>58</v>
      </c>
      <c r="D28" s="20">
        <v>154</v>
      </c>
      <c r="E28" s="31">
        <v>900</v>
      </c>
      <c r="F28" s="31">
        <f>D28*E28</f>
        <v>138600</v>
      </c>
      <c r="G28" s="31"/>
      <c r="H28" s="21">
        <f t="shared" si="0"/>
        <v>0</v>
      </c>
      <c r="I28" s="35"/>
      <c r="J28" s="35"/>
      <c r="K28" s="2"/>
      <c r="L28" s="2"/>
      <c r="M28" s="2"/>
      <c r="N28" s="2"/>
      <c r="O28" s="2"/>
      <c r="P28" s="2"/>
      <c r="Q28" s="2"/>
      <c r="R28" s="2"/>
      <c r="S28" s="2"/>
      <c r="T28" s="2"/>
      <c r="U28" s="2"/>
      <c r="V28" s="2"/>
      <c r="W28" s="2"/>
      <c r="X28" s="2"/>
      <c r="Y28" s="2"/>
      <c r="Z28" s="2"/>
    </row>
    <row r="29" spans="1:26" ht="20.25" customHeight="1">
      <c r="A29" s="12" t="s">
        <v>186</v>
      </c>
      <c r="B29" s="24" t="s">
        <v>187</v>
      </c>
      <c r="C29" s="26"/>
      <c r="D29" s="15"/>
      <c r="E29" s="32"/>
      <c r="F29" s="32"/>
      <c r="G29" s="32"/>
      <c r="H29" s="21">
        <f t="shared" si="0"/>
        <v>0</v>
      </c>
      <c r="I29" s="34"/>
      <c r="J29" s="34"/>
      <c r="K29" s="16"/>
      <c r="L29" s="16"/>
      <c r="M29" s="16"/>
      <c r="N29" s="16"/>
      <c r="O29" s="16"/>
      <c r="P29" s="16"/>
      <c r="Q29" s="16"/>
      <c r="R29" s="16"/>
      <c r="S29" s="16"/>
      <c r="T29" s="16"/>
      <c r="U29" s="16"/>
      <c r="V29" s="16"/>
      <c r="W29" s="16"/>
      <c r="X29" s="16"/>
      <c r="Y29" s="16"/>
      <c r="Z29" s="16"/>
    </row>
    <row r="30" spans="1:26" ht="18.75" customHeight="1">
      <c r="A30" s="17" t="s">
        <v>188</v>
      </c>
      <c r="B30" s="18" t="s">
        <v>189</v>
      </c>
      <c r="C30" s="19" t="s">
        <v>58</v>
      </c>
      <c r="D30" s="20">
        <v>154</v>
      </c>
      <c r="E30" s="31">
        <v>90</v>
      </c>
      <c r="F30" s="31">
        <f>D30*E30</f>
        <v>13860</v>
      </c>
      <c r="G30" s="31"/>
      <c r="H30" s="21">
        <f t="shared" si="0"/>
        <v>0</v>
      </c>
      <c r="I30" s="35"/>
      <c r="J30" s="35"/>
      <c r="K30" s="2"/>
      <c r="L30" s="2"/>
      <c r="M30" s="2"/>
      <c r="N30" s="2"/>
      <c r="O30" s="2"/>
      <c r="P30" s="2"/>
      <c r="Q30" s="2"/>
      <c r="R30" s="2"/>
      <c r="S30" s="2"/>
      <c r="T30" s="2"/>
      <c r="U30" s="2"/>
      <c r="V30" s="2"/>
      <c r="W30" s="2"/>
      <c r="X30" s="2"/>
      <c r="Y30" s="2"/>
      <c r="Z30" s="2"/>
    </row>
    <row r="31" spans="1:26" ht="18.75" customHeight="1">
      <c r="A31" s="17" t="s">
        <v>190</v>
      </c>
      <c r="B31" s="18" t="s">
        <v>191</v>
      </c>
      <c r="C31" s="19" t="s">
        <v>58</v>
      </c>
      <c r="D31" s="20">
        <v>154</v>
      </c>
      <c r="E31" s="31">
        <v>550</v>
      </c>
      <c r="F31" s="31">
        <f>D31*E31</f>
        <v>84700</v>
      </c>
      <c r="G31" s="31"/>
      <c r="H31" s="21">
        <f t="shared" si="0"/>
        <v>0</v>
      </c>
      <c r="I31" s="35"/>
      <c r="J31" s="35"/>
      <c r="K31" s="2"/>
      <c r="L31" s="2"/>
      <c r="M31" s="2"/>
      <c r="N31" s="2"/>
      <c r="O31" s="2"/>
      <c r="P31" s="2"/>
      <c r="Q31" s="2"/>
      <c r="R31" s="2"/>
      <c r="S31" s="2"/>
      <c r="T31" s="2"/>
      <c r="U31" s="2"/>
      <c r="V31" s="2"/>
      <c r="W31" s="2"/>
      <c r="X31" s="2"/>
      <c r="Y31" s="2"/>
      <c r="Z31" s="2"/>
    </row>
    <row r="32" spans="1:26" ht="20.25" customHeight="1">
      <c r="A32" s="12" t="s">
        <v>192</v>
      </c>
      <c r="B32" s="24" t="s">
        <v>193</v>
      </c>
      <c r="C32" s="26"/>
      <c r="D32" s="15"/>
      <c r="E32" s="32"/>
      <c r="F32" s="32"/>
      <c r="G32" s="32"/>
      <c r="H32" s="21">
        <f t="shared" si="0"/>
        <v>0</v>
      </c>
      <c r="I32" s="34"/>
      <c r="J32" s="34"/>
      <c r="K32" s="16"/>
      <c r="L32" s="16"/>
      <c r="M32" s="16"/>
      <c r="N32" s="16"/>
      <c r="O32" s="16"/>
      <c r="P32" s="16"/>
      <c r="Q32" s="16"/>
      <c r="R32" s="16"/>
      <c r="S32" s="16"/>
      <c r="T32" s="16"/>
      <c r="U32" s="16"/>
      <c r="V32" s="16"/>
      <c r="W32" s="16"/>
      <c r="X32" s="16"/>
      <c r="Y32" s="16"/>
      <c r="Z32" s="16"/>
    </row>
    <row r="33" spans="1:26" ht="18.75" customHeight="1">
      <c r="A33" s="17" t="s">
        <v>194</v>
      </c>
      <c r="B33" s="18" t="s">
        <v>29</v>
      </c>
      <c r="C33" s="19" t="s">
        <v>82</v>
      </c>
      <c r="D33" s="20">
        <v>1</v>
      </c>
      <c r="E33" s="31">
        <v>40000</v>
      </c>
      <c r="F33" s="31">
        <f>D33*E33</f>
        <v>40000</v>
      </c>
      <c r="G33" s="31"/>
      <c r="H33" s="21">
        <f t="shared" si="0"/>
        <v>0</v>
      </c>
      <c r="I33" s="35"/>
      <c r="J33" s="35"/>
      <c r="K33" s="2"/>
      <c r="L33" s="2"/>
      <c r="M33" s="2"/>
      <c r="N33" s="2"/>
      <c r="O33" s="2"/>
      <c r="P33" s="2"/>
      <c r="Q33" s="2"/>
      <c r="R33" s="2"/>
      <c r="S33" s="2"/>
      <c r="T33" s="2"/>
      <c r="U33" s="2"/>
      <c r="V33" s="2"/>
      <c r="W33" s="2"/>
      <c r="X33" s="2"/>
      <c r="Y33" s="2"/>
      <c r="Z33" s="2"/>
    </row>
    <row r="34" spans="1:26" ht="20.25" customHeight="1">
      <c r="A34" s="12" t="s">
        <v>195</v>
      </c>
      <c r="B34" s="24" t="s">
        <v>196</v>
      </c>
      <c r="C34" s="25"/>
      <c r="D34" s="15"/>
      <c r="E34" s="32"/>
      <c r="F34" s="32"/>
      <c r="G34" s="32"/>
      <c r="H34" s="21">
        <f t="shared" si="0"/>
        <v>0</v>
      </c>
      <c r="I34" s="34"/>
      <c r="J34" s="34"/>
      <c r="K34" s="16"/>
      <c r="L34" s="16"/>
      <c r="M34" s="16"/>
      <c r="N34" s="16"/>
      <c r="O34" s="16"/>
      <c r="P34" s="16"/>
      <c r="Q34" s="16"/>
      <c r="R34" s="16"/>
      <c r="S34" s="16"/>
      <c r="T34" s="16"/>
      <c r="U34" s="16"/>
      <c r="V34" s="16"/>
      <c r="W34" s="16"/>
      <c r="X34" s="16"/>
      <c r="Y34" s="16"/>
      <c r="Z34" s="16"/>
    </row>
    <row r="35" spans="1:26" ht="18.75" customHeight="1">
      <c r="A35" s="17" t="s">
        <v>197</v>
      </c>
      <c r="B35" s="18" t="s">
        <v>30</v>
      </c>
      <c r="C35" s="19" t="s">
        <v>82</v>
      </c>
      <c r="D35" s="20">
        <v>1</v>
      </c>
      <c r="E35" s="31">
        <v>20000</v>
      </c>
      <c r="F35" s="31">
        <f>D35*E35</f>
        <v>20000</v>
      </c>
      <c r="G35" s="31"/>
      <c r="H35" s="21">
        <f t="shared" si="0"/>
        <v>0</v>
      </c>
      <c r="I35" s="35"/>
      <c r="J35" s="35"/>
      <c r="K35" s="2"/>
      <c r="L35" s="2"/>
      <c r="M35" s="2"/>
      <c r="N35" s="2"/>
      <c r="O35" s="2"/>
      <c r="P35" s="2"/>
      <c r="Q35" s="2"/>
      <c r="R35" s="2"/>
      <c r="S35" s="2"/>
      <c r="T35" s="2"/>
      <c r="U35" s="2"/>
      <c r="V35" s="2"/>
      <c r="W35" s="2"/>
      <c r="X35" s="2"/>
      <c r="Y35" s="2"/>
      <c r="Z35" s="2"/>
    </row>
    <row r="36" spans="1:26" ht="17.25" customHeight="1">
      <c r="A36" s="36" t="s">
        <v>198</v>
      </c>
      <c r="B36" s="37" t="s">
        <v>199</v>
      </c>
      <c r="C36" s="38"/>
      <c r="D36" s="39"/>
      <c r="E36" s="40"/>
      <c r="F36" s="40"/>
      <c r="G36" s="40"/>
      <c r="H36" s="21">
        <f t="shared" si="0"/>
        <v>0</v>
      </c>
      <c r="I36" s="41"/>
      <c r="J36" s="41"/>
      <c r="K36" s="41"/>
      <c r="L36" s="41"/>
      <c r="M36" s="41"/>
      <c r="N36" s="41"/>
      <c r="O36" s="41"/>
      <c r="P36" s="41"/>
      <c r="Q36" s="41"/>
      <c r="R36" s="41"/>
      <c r="S36" s="41"/>
      <c r="T36" s="41"/>
      <c r="U36" s="41"/>
      <c r="V36" s="41"/>
      <c r="W36" s="41"/>
      <c r="X36" s="41"/>
      <c r="Y36" s="41"/>
      <c r="Z36" s="41"/>
    </row>
    <row r="37" spans="1:26" ht="34.5" customHeight="1">
      <c r="A37" s="17" t="s">
        <v>200</v>
      </c>
      <c r="B37" s="18" t="s">
        <v>201</v>
      </c>
      <c r="C37" s="19" t="s">
        <v>58</v>
      </c>
      <c r="D37" s="20">
        <v>532</v>
      </c>
      <c r="E37" s="31">
        <v>150</v>
      </c>
      <c r="F37" s="31">
        <f>D37*E37</f>
        <v>79800</v>
      </c>
      <c r="G37" s="31"/>
      <c r="H37" s="21">
        <f t="shared" si="0"/>
        <v>0</v>
      </c>
      <c r="I37" s="2"/>
      <c r="J37" s="2"/>
      <c r="K37" s="2"/>
      <c r="L37" s="2"/>
      <c r="M37" s="2"/>
      <c r="N37" s="2"/>
      <c r="O37" s="2"/>
      <c r="P37" s="2"/>
      <c r="Q37" s="2"/>
      <c r="R37" s="2"/>
      <c r="S37" s="2"/>
      <c r="T37" s="2"/>
      <c r="U37" s="2"/>
      <c r="V37" s="2"/>
      <c r="W37" s="2"/>
      <c r="X37" s="2"/>
      <c r="Y37" s="2"/>
      <c r="Z37" s="2"/>
    </row>
    <row r="38" spans="1:26" ht="18.75" customHeight="1">
      <c r="A38" s="17" t="s">
        <v>202</v>
      </c>
      <c r="B38" s="18" t="s">
        <v>203</v>
      </c>
      <c r="C38" s="19" t="s">
        <v>58</v>
      </c>
      <c r="D38" s="20">
        <f>D37</f>
        <v>532</v>
      </c>
      <c r="E38" s="31">
        <v>350</v>
      </c>
      <c r="F38" s="31">
        <f>D38*E38</f>
        <v>186200</v>
      </c>
      <c r="G38" s="31"/>
      <c r="H38" s="21">
        <f t="shared" si="0"/>
        <v>0</v>
      </c>
      <c r="I38" s="2"/>
      <c r="J38" s="2"/>
      <c r="K38" s="2"/>
      <c r="L38" s="2"/>
      <c r="M38" s="2"/>
      <c r="N38" s="2"/>
      <c r="O38" s="2"/>
      <c r="P38" s="2"/>
      <c r="Q38" s="2"/>
      <c r="R38" s="2"/>
      <c r="S38" s="2"/>
      <c r="T38" s="2"/>
      <c r="U38" s="2"/>
      <c r="V38" s="2"/>
      <c r="W38" s="2"/>
      <c r="X38" s="2"/>
      <c r="Y38" s="2"/>
      <c r="Z38" s="2"/>
    </row>
    <row r="39" spans="1:26" ht="18.75" customHeight="1">
      <c r="A39" s="17" t="s">
        <v>204</v>
      </c>
      <c r="B39" s="18" t="s">
        <v>205</v>
      </c>
      <c r="C39" s="19" t="s">
        <v>58</v>
      </c>
      <c r="D39" s="20">
        <v>532</v>
      </c>
      <c r="E39" s="31">
        <v>250</v>
      </c>
      <c r="F39" s="31">
        <f>D39*E39</f>
        <v>133000</v>
      </c>
      <c r="G39" s="31"/>
      <c r="H39" s="21">
        <f t="shared" si="0"/>
        <v>0</v>
      </c>
      <c r="I39" s="2"/>
      <c r="J39" s="2"/>
      <c r="K39" s="2"/>
      <c r="L39" s="2"/>
      <c r="M39" s="2"/>
      <c r="N39" s="2"/>
      <c r="O39" s="2"/>
      <c r="P39" s="2"/>
      <c r="Q39" s="2"/>
      <c r="R39" s="2"/>
      <c r="S39" s="2"/>
      <c r="T39" s="2"/>
      <c r="U39" s="2"/>
      <c r="V39" s="2"/>
      <c r="W39" s="2"/>
      <c r="X39" s="2"/>
      <c r="Y39" s="2"/>
      <c r="Z39" s="2"/>
    </row>
    <row r="40" spans="1:26" ht="18.75" customHeight="1">
      <c r="A40" s="42" t="s">
        <v>206</v>
      </c>
      <c r="B40" s="43" t="s">
        <v>207</v>
      </c>
      <c r="C40" s="44"/>
      <c r="D40" s="45"/>
      <c r="E40" s="46"/>
      <c r="F40" s="46"/>
      <c r="G40" s="46"/>
      <c r="H40" s="21">
        <f t="shared" si="0"/>
        <v>0</v>
      </c>
      <c r="I40" s="41"/>
      <c r="J40" s="41"/>
      <c r="K40" s="41"/>
      <c r="L40" s="41"/>
      <c r="M40" s="41"/>
      <c r="N40" s="41"/>
      <c r="O40" s="41"/>
      <c r="P40" s="41"/>
      <c r="Q40" s="41"/>
      <c r="R40" s="41"/>
      <c r="S40" s="41"/>
      <c r="T40" s="41"/>
      <c r="U40" s="41"/>
      <c r="V40" s="41"/>
      <c r="W40" s="41"/>
      <c r="X40" s="41"/>
      <c r="Y40" s="41"/>
      <c r="Z40" s="41"/>
    </row>
    <row r="41" spans="1:26" ht="36" customHeight="1">
      <c r="A41" s="17" t="s">
        <v>208</v>
      </c>
      <c r="B41" s="18" t="s">
        <v>209</v>
      </c>
      <c r="C41" s="22" t="s">
        <v>144</v>
      </c>
      <c r="D41" s="20">
        <v>200</v>
      </c>
      <c r="E41" s="31">
        <v>520</v>
      </c>
      <c r="F41" s="31">
        <f>D41*E41</f>
        <v>104000</v>
      </c>
      <c r="G41" s="31"/>
      <c r="H41" s="21">
        <f t="shared" si="0"/>
        <v>0</v>
      </c>
    </row>
    <row r="42" spans="1:26" ht="18.75" customHeight="1">
      <c r="A42" s="17" t="s">
        <v>210</v>
      </c>
      <c r="B42" s="18" t="s">
        <v>211</v>
      </c>
      <c r="C42" s="22" t="s">
        <v>96</v>
      </c>
      <c r="D42" s="20">
        <v>16</v>
      </c>
      <c r="E42" s="31">
        <v>3500</v>
      </c>
      <c r="F42" s="31">
        <f>D42*E42</f>
        <v>56000</v>
      </c>
      <c r="G42" s="31"/>
      <c r="H42" s="21">
        <f t="shared" si="0"/>
        <v>0</v>
      </c>
    </row>
    <row r="43" spans="1:26" ht="18.75" customHeight="1">
      <c r="A43" s="42" t="s">
        <v>212</v>
      </c>
      <c r="B43" s="43" t="s">
        <v>213</v>
      </c>
      <c r="C43" s="44"/>
      <c r="D43" s="45"/>
      <c r="E43" s="46"/>
      <c r="F43" s="46"/>
      <c r="G43" s="46"/>
      <c r="H43" s="21">
        <f t="shared" si="0"/>
        <v>0</v>
      </c>
      <c r="I43" s="41"/>
      <c r="J43" s="41"/>
      <c r="K43" s="41"/>
      <c r="L43" s="41"/>
      <c r="M43" s="41"/>
      <c r="N43" s="41"/>
      <c r="O43" s="41"/>
      <c r="P43" s="41"/>
      <c r="Q43" s="41"/>
      <c r="R43" s="41"/>
      <c r="S43" s="41"/>
      <c r="T43" s="41"/>
      <c r="U43" s="41"/>
      <c r="V43" s="41"/>
      <c r="W43" s="41"/>
      <c r="X43" s="41"/>
      <c r="Y43" s="41"/>
      <c r="Z43" s="41"/>
    </row>
    <row r="44" spans="1:26" ht="34.5" customHeight="1">
      <c r="A44" s="17" t="s">
        <v>214</v>
      </c>
      <c r="B44" s="18" t="s">
        <v>215</v>
      </c>
      <c r="C44" s="22" t="s">
        <v>58</v>
      </c>
      <c r="D44" s="20">
        <v>163.5</v>
      </c>
      <c r="E44" s="31">
        <v>1250</v>
      </c>
      <c r="F44" s="31">
        <f>D44*E44</f>
        <v>204375</v>
      </c>
      <c r="G44" s="31"/>
      <c r="H44" s="21">
        <f t="shared" si="0"/>
        <v>0</v>
      </c>
      <c r="I44" s="2"/>
      <c r="J44" s="2"/>
      <c r="K44" s="2"/>
      <c r="L44" s="2"/>
      <c r="M44" s="2"/>
      <c r="N44" s="2"/>
      <c r="O44" s="2"/>
      <c r="P44" s="2"/>
      <c r="Q44" s="2"/>
      <c r="R44" s="2"/>
      <c r="S44" s="2"/>
      <c r="T44" s="2"/>
      <c r="U44" s="2"/>
      <c r="V44" s="2"/>
      <c r="W44" s="2"/>
      <c r="X44" s="2"/>
      <c r="Y44" s="2"/>
      <c r="Z44" s="2"/>
    </row>
    <row r="45" spans="1:26" ht="18.75" customHeight="1">
      <c r="A45" s="42" t="s">
        <v>216</v>
      </c>
      <c r="B45" s="43" t="s">
        <v>217</v>
      </c>
      <c r="C45" s="44"/>
      <c r="D45" s="45"/>
      <c r="E45" s="46"/>
      <c r="F45" s="46"/>
      <c r="G45" s="46"/>
      <c r="H45" s="21">
        <f t="shared" si="0"/>
        <v>0</v>
      </c>
      <c r="I45" s="41"/>
      <c r="J45" s="41"/>
      <c r="K45" s="41"/>
      <c r="L45" s="41"/>
      <c r="M45" s="41"/>
      <c r="N45" s="41"/>
      <c r="O45" s="41"/>
      <c r="P45" s="41"/>
      <c r="Q45" s="41"/>
      <c r="R45" s="41"/>
      <c r="S45" s="41"/>
      <c r="T45" s="41"/>
      <c r="U45" s="41"/>
      <c r="V45" s="41"/>
      <c r="W45" s="41"/>
      <c r="X45" s="41"/>
      <c r="Y45" s="41"/>
      <c r="Z45" s="41"/>
    </row>
    <row r="46" spans="1:26" ht="15.75" customHeight="1">
      <c r="A46" s="17" t="s">
        <v>218</v>
      </c>
      <c r="B46" s="18" t="s">
        <v>219</v>
      </c>
      <c r="C46" s="22" t="s">
        <v>58</v>
      </c>
      <c r="D46" s="20">
        <v>62</v>
      </c>
      <c r="E46" s="31">
        <v>1200</v>
      </c>
      <c r="F46" s="31">
        <f>D46*E46</f>
        <v>74400</v>
      </c>
      <c r="G46" s="31"/>
      <c r="H46" s="21">
        <f t="shared" si="0"/>
        <v>0</v>
      </c>
      <c r="I46" s="35"/>
      <c r="J46" s="35"/>
      <c r="K46" s="2"/>
      <c r="L46" s="2"/>
      <c r="M46" s="2"/>
      <c r="N46" s="2"/>
      <c r="O46" s="2"/>
      <c r="P46" s="2"/>
      <c r="Q46" s="2"/>
      <c r="R46" s="2"/>
      <c r="S46" s="2"/>
      <c r="T46" s="2"/>
      <c r="U46" s="2"/>
      <c r="V46" s="2"/>
      <c r="W46" s="2"/>
      <c r="X46" s="2"/>
      <c r="Y46" s="2"/>
      <c r="Z46" s="2"/>
    </row>
    <row r="47" spans="1:26" ht="15.75" customHeight="1">
      <c r="A47" s="17" t="s">
        <v>220</v>
      </c>
      <c r="B47" s="18" t="s">
        <v>221</v>
      </c>
      <c r="C47" s="22" t="s">
        <v>144</v>
      </c>
      <c r="D47" s="20">
        <v>136</v>
      </c>
      <c r="E47" s="31">
        <v>400</v>
      </c>
      <c r="F47" s="31">
        <f>D47*E47</f>
        <v>54400</v>
      </c>
      <c r="G47" s="31"/>
      <c r="H47" s="21">
        <f t="shared" si="0"/>
        <v>0</v>
      </c>
      <c r="I47" s="2"/>
      <c r="J47" s="35"/>
      <c r="K47" s="2"/>
      <c r="L47" s="2"/>
      <c r="M47" s="2"/>
      <c r="N47" s="2"/>
      <c r="O47" s="2"/>
      <c r="P47" s="2"/>
      <c r="Q47" s="2"/>
      <c r="R47" s="2"/>
      <c r="S47" s="2"/>
      <c r="T47" s="2"/>
      <c r="U47" s="2"/>
      <c r="V47" s="2"/>
      <c r="W47" s="2"/>
      <c r="X47" s="2"/>
      <c r="Y47" s="2"/>
      <c r="Z47" s="2"/>
    </row>
    <row r="48" spans="1:26" ht="18.75" customHeight="1">
      <c r="A48" s="42" t="s">
        <v>222</v>
      </c>
      <c r="B48" s="43" t="s">
        <v>223</v>
      </c>
      <c r="C48" s="44"/>
      <c r="D48" s="45"/>
      <c r="E48" s="46"/>
      <c r="F48" s="46"/>
      <c r="G48" s="46"/>
      <c r="H48" s="21">
        <f t="shared" si="0"/>
        <v>0</v>
      </c>
      <c r="I48" s="41"/>
      <c r="J48" s="41"/>
      <c r="K48" s="41"/>
      <c r="L48" s="41"/>
      <c r="M48" s="41"/>
      <c r="N48" s="41"/>
      <c r="O48" s="41"/>
      <c r="P48" s="41"/>
      <c r="Q48" s="41"/>
      <c r="R48" s="41"/>
      <c r="S48" s="41"/>
      <c r="T48" s="41"/>
      <c r="U48" s="41"/>
      <c r="V48" s="41"/>
      <c r="W48" s="41"/>
      <c r="X48" s="41"/>
      <c r="Y48" s="41"/>
      <c r="Z48" s="41"/>
    </row>
    <row r="49" spans="1:26" ht="15.75" customHeight="1">
      <c r="A49" s="17" t="s">
        <v>224</v>
      </c>
      <c r="B49" s="18" t="s">
        <v>225</v>
      </c>
      <c r="C49" s="22" t="s">
        <v>58</v>
      </c>
      <c r="D49" s="20">
        <v>27.7</v>
      </c>
      <c r="E49" s="31">
        <v>580</v>
      </c>
      <c r="F49" s="31">
        <f>D49*E49</f>
        <v>16066</v>
      </c>
      <c r="G49" s="31"/>
      <c r="H49" s="21">
        <f t="shared" si="0"/>
        <v>0</v>
      </c>
      <c r="I49" s="2"/>
      <c r="J49" s="35"/>
      <c r="K49" s="2"/>
      <c r="L49" s="2"/>
      <c r="M49" s="2"/>
      <c r="N49" s="2"/>
      <c r="O49" s="2"/>
      <c r="P49" s="2"/>
      <c r="Q49" s="2"/>
      <c r="R49" s="2"/>
      <c r="S49" s="2"/>
      <c r="T49" s="2"/>
      <c r="U49" s="2"/>
      <c r="V49" s="2"/>
      <c r="W49" s="2"/>
      <c r="X49" s="2"/>
      <c r="Y49" s="2"/>
      <c r="Z49" s="2"/>
    </row>
    <row r="50" spans="1:26" ht="20.25" customHeight="1">
      <c r="A50" s="12" t="s">
        <v>226</v>
      </c>
      <c r="B50" s="24" t="s">
        <v>227</v>
      </c>
      <c r="C50" s="26"/>
      <c r="D50" s="15"/>
      <c r="E50" s="32"/>
      <c r="F50" s="32"/>
      <c r="G50" s="32"/>
      <c r="H50" s="21">
        <f t="shared" si="0"/>
        <v>0</v>
      </c>
      <c r="I50" s="34"/>
      <c r="J50" s="34"/>
      <c r="K50" s="16"/>
      <c r="L50" s="16"/>
      <c r="M50" s="16"/>
      <c r="N50" s="16"/>
      <c r="O50" s="16"/>
      <c r="P50" s="16"/>
      <c r="Q50" s="16"/>
      <c r="R50" s="16"/>
      <c r="S50" s="16"/>
      <c r="T50" s="16"/>
      <c r="U50" s="16"/>
      <c r="V50" s="16"/>
      <c r="W50" s="16"/>
      <c r="X50" s="16"/>
      <c r="Y50" s="16"/>
      <c r="Z50" s="16"/>
    </row>
    <row r="51" spans="1:26" ht="18.75" customHeight="1">
      <c r="A51" s="17" t="s">
        <v>228</v>
      </c>
      <c r="B51" s="18" t="s">
        <v>229</v>
      </c>
      <c r="C51" s="19" t="s">
        <v>58</v>
      </c>
      <c r="D51" s="20">
        <v>154</v>
      </c>
      <c r="E51" s="31">
        <v>350</v>
      </c>
      <c r="F51" s="31">
        <f>D51*E51</f>
        <v>53900</v>
      </c>
      <c r="G51" s="31"/>
      <c r="H51" s="21">
        <f t="shared" si="0"/>
        <v>0</v>
      </c>
      <c r="I51" s="2"/>
      <c r="J51" s="2"/>
      <c r="K51" s="2"/>
      <c r="L51" s="2"/>
      <c r="M51" s="2"/>
      <c r="N51" s="2"/>
      <c r="O51" s="2"/>
      <c r="P51" s="2"/>
      <c r="Q51" s="2"/>
      <c r="R51" s="2"/>
      <c r="S51" s="2"/>
      <c r="T51" s="2"/>
      <c r="U51" s="2"/>
      <c r="V51" s="2"/>
      <c r="W51" s="2"/>
      <c r="X51" s="2"/>
      <c r="Y51" s="2"/>
      <c r="Z51" s="2"/>
    </row>
    <row r="52" spans="1:26" ht="18.75" customHeight="1">
      <c r="A52" s="17" t="s">
        <v>230</v>
      </c>
      <c r="B52" s="18" t="s">
        <v>231</v>
      </c>
      <c r="C52" s="19" t="s">
        <v>67</v>
      </c>
      <c r="D52" s="20">
        <v>176</v>
      </c>
      <c r="E52" s="31">
        <v>150</v>
      </c>
      <c r="F52" s="31">
        <f>D52*E52</f>
        <v>26400</v>
      </c>
      <c r="G52" s="31"/>
      <c r="H52" s="21">
        <f t="shared" si="0"/>
        <v>0</v>
      </c>
      <c r="I52" s="2"/>
      <c r="J52" s="2"/>
      <c r="K52" s="2"/>
      <c r="L52" s="2"/>
      <c r="M52" s="2"/>
      <c r="N52" s="2"/>
      <c r="O52" s="2"/>
      <c r="P52" s="2"/>
      <c r="Q52" s="2"/>
      <c r="R52" s="2"/>
      <c r="S52" s="2"/>
      <c r="T52" s="2"/>
      <c r="U52" s="2"/>
      <c r="V52" s="2"/>
      <c r="W52" s="2"/>
      <c r="X52" s="2"/>
      <c r="Y52" s="2"/>
      <c r="Z52" s="2"/>
    </row>
    <row r="53" spans="1:26" ht="20.25" customHeight="1">
      <c r="A53" s="12" t="s">
        <v>232</v>
      </c>
      <c r="B53" s="24" t="s">
        <v>233</v>
      </c>
      <c r="C53" s="26"/>
      <c r="D53" s="15"/>
      <c r="E53" s="32"/>
      <c r="F53" s="32"/>
      <c r="G53" s="32"/>
      <c r="H53" s="21">
        <f t="shared" si="0"/>
        <v>0</v>
      </c>
      <c r="I53" s="34"/>
      <c r="J53" s="34"/>
      <c r="K53" s="16"/>
      <c r="L53" s="16"/>
      <c r="M53" s="16"/>
      <c r="N53" s="16"/>
      <c r="O53" s="16"/>
      <c r="P53" s="16"/>
      <c r="Q53" s="16"/>
      <c r="R53" s="16"/>
      <c r="S53" s="16"/>
      <c r="T53" s="16"/>
      <c r="U53" s="16"/>
      <c r="V53" s="16"/>
      <c r="W53" s="16"/>
      <c r="X53" s="16"/>
      <c r="Y53" s="16"/>
      <c r="Z53" s="16"/>
    </row>
    <row r="54" spans="1:26" ht="18.75" customHeight="1">
      <c r="A54" s="17" t="s">
        <v>234</v>
      </c>
      <c r="B54" s="18" t="s">
        <v>235</v>
      </c>
      <c r="C54" s="19" t="s">
        <v>58</v>
      </c>
      <c r="D54" s="20">
        <v>384</v>
      </c>
      <c r="E54" s="31">
        <v>300</v>
      </c>
      <c r="F54" s="31">
        <f>D54*E54</f>
        <v>115200</v>
      </c>
      <c r="G54" s="31"/>
      <c r="H54" s="21">
        <f t="shared" si="0"/>
        <v>0</v>
      </c>
      <c r="I54" s="2"/>
      <c r="J54" s="2"/>
      <c r="K54" s="2"/>
      <c r="L54" s="2"/>
      <c r="M54" s="2"/>
      <c r="N54" s="2"/>
      <c r="O54" s="2"/>
      <c r="P54" s="2"/>
      <c r="Q54" s="2"/>
      <c r="R54" s="2"/>
      <c r="S54" s="2"/>
      <c r="T54" s="2"/>
      <c r="U54" s="2"/>
      <c r="V54" s="2"/>
      <c r="W54" s="2"/>
      <c r="X54" s="2"/>
      <c r="Y54" s="2"/>
      <c r="Z54" s="2"/>
    </row>
    <row r="55" spans="1:26" ht="18.75" customHeight="1">
      <c r="A55" s="17" t="s">
        <v>236</v>
      </c>
      <c r="B55" s="18" t="s">
        <v>237</v>
      </c>
      <c r="C55" s="19" t="s">
        <v>58</v>
      </c>
      <c r="D55" s="20">
        <v>384</v>
      </c>
      <c r="E55" s="31">
        <v>250</v>
      </c>
      <c r="F55" s="31">
        <f>D55*E55</f>
        <v>96000</v>
      </c>
      <c r="G55" s="31"/>
      <c r="H55" s="21">
        <f t="shared" si="0"/>
        <v>0</v>
      </c>
      <c r="I55" s="2"/>
      <c r="J55" s="2"/>
      <c r="K55" s="2"/>
      <c r="L55" s="2"/>
      <c r="M55" s="2"/>
      <c r="N55" s="2"/>
      <c r="O55" s="2"/>
      <c r="P55" s="2"/>
      <c r="Q55" s="2"/>
      <c r="R55" s="2"/>
      <c r="S55" s="2"/>
      <c r="T55" s="2"/>
      <c r="U55" s="2"/>
      <c r="V55" s="2"/>
      <c r="W55" s="2"/>
      <c r="X55" s="2"/>
      <c r="Y55" s="2"/>
      <c r="Z55" s="2"/>
    </row>
    <row r="56" spans="1:26" ht="30.75" customHeight="1">
      <c r="A56" s="17" t="s">
        <v>238</v>
      </c>
      <c r="B56" s="18" t="s">
        <v>239</v>
      </c>
      <c r="C56" s="19" t="s">
        <v>58</v>
      </c>
      <c r="D56" s="20">
        <v>206</v>
      </c>
      <c r="E56" s="31">
        <v>300</v>
      </c>
      <c r="F56" s="31">
        <f>D56*E56</f>
        <v>61800</v>
      </c>
      <c r="G56" s="31"/>
      <c r="H56" s="21">
        <f t="shared" si="0"/>
        <v>0</v>
      </c>
      <c r="I56" s="2"/>
      <c r="J56" s="2"/>
      <c r="K56" s="2"/>
      <c r="L56" s="2"/>
      <c r="M56" s="2"/>
      <c r="N56" s="2"/>
      <c r="O56" s="2"/>
      <c r="P56" s="2"/>
      <c r="Q56" s="2"/>
      <c r="R56" s="2"/>
      <c r="S56" s="2"/>
      <c r="T56" s="2"/>
      <c r="U56" s="2"/>
      <c r="V56" s="2"/>
      <c r="W56" s="2"/>
      <c r="X56" s="2"/>
      <c r="Y56" s="2"/>
      <c r="Z56" s="2"/>
    </row>
    <row r="57" spans="1:26" ht="20.25" customHeight="1">
      <c r="A57" s="12" t="s">
        <v>240</v>
      </c>
      <c r="B57" s="24" t="s">
        <v>241</v>
      </c>
      <c r="C57" s="26"/>
      <c r="D57" s="15"/>
      <c r="E57" s="32"/>
      <c r="F57" s="32"/>
      <c r="G57" s="32"/>
      <c r="H57" s="21">
        <f t="shared" si="0"/>
        <v>0</v>
      </c>
      <c r="I57" s="34"/>
      <c r="J57" s="34"/>
      <c r="K57" s="16"/>
      <c r="L57" s="16"/>
      <c r="M57" s="16"/>
      <c r="N57" s="16"/>
      <c r="O57" s="16"/>
      <c r="P57" s="16"/>
      <c r="Q57" s="16"/>
      <c r="R57" s="16"/>
      <c r="S57" s="16"/>
      <c r="T57" s="16"/>
      <c r="U57" s="16"/>
      <c r="V57" s="16"/>
      <c r="W57" s="16"/>
      <c r="X57" s="16"/>
      <c r="Y57" s="16"/>
      <c r="Z57" s="16"/>
    </row>
    <row r="58" spans="1:26" ht="18.75" customHeight="1">
      <c r="A58" s="17" t="s">
        <v>242</v>
      </c>
      <c r="B58" s="18" t="s">
        <v>243</v>
      </c>
      <c r="C58" s="19" t="s">
        <v>58</v>
      </c>
      <c r="D58" s="20">
        <v>120</v>
      </c>
      <c r="E58" s="31">
        <v>510</v>
      </c>
      <c r="F58" s="31">
        <f>D58*E58</f>
        <v>61200</v>
      </c>
      <c r="G58" s="31"/>
      <c r="H58" s="21">
        <f t="shared" si="0"/>
        <v>0</v>
      </c>
      <c r="I58" s="2"/>
      <c r="J58" s="2"/>
      <c r="K58" s="2"/>
      <c r="L58" s="2"/>
      <c r="M58" s="2"/>
      <c r="N58" s="2"/>
      <c r="O58" s="2"/>
      <c r="P58" s="2"/>
      <c r="Q58" s="2"/>
      <c r="R58" s="2"/>
      <c r="S58" s="2"/>
      <c r="T58" s="2"/>
      <c r="U58" s="2"/>
      <c r="V58" s="2"/>
      <c r="W58" s="2"/>
      <c r="X58" s="2"/>
      <c r="Y58" s="2"/>
      <c r="Z58" s="2"/>
    </row>
    <row r="59" spans="1:26" ht="20.25" customHeight="1">
      <c r="A59" s="12" t="s">
        <v>244</v>
      </c>
      <c r="B59" s="24" t="s">
        <v>245</v>
      </c>
      <c r="C59" s="26"/>
      <c r="D59" s="15"/>
      <c r="E59" s="32"/>
      <c r="F59" s="32"/>
      <c r="G59" s="32"/>
      <c r="H59" s="21">
        <f t="shared" si="0"/>
        <v>0</v>
      </c>
      <c r="I59" s="34"/>
      <c r="J59" s="34"/>
      <c r="K59" s="16"/>
      <c r="L59" s="16"/>
      <c r="M59" s="16"/>
      <c r="N59" s="16"/>
      <c r="O59" s="16"/>
      <c r="P59" s="16"/>
      <c r="Q59" s="16"/>
      <c r="R59" s="16"/>
      <c r="S59" s="16"/>
      <c r="T59" s="16"/>
      <c r="U59" s="16"/>
      <c r="V59" s="16"/>
      <c r="W59" s="16"/>
      <c r="X59" s="16"/>
      <c r="Y59" s="16"/>
      <c r="Z59" s="16"/>
    </row>
    <row r="60" spans="1:26" ht="18.75" customHeight="1">
      <c r="A60" s="17" t="s">
        <v>246</v>
      </c>
      <c r="B60" s="18" t="s">
        <v>247</v>
      </c>
      <c r="C60" s="19" t="s">
        <v>96</v>
      </c>
      <c r="D60" s="20">
        <v>16</v>
      </c>
      <c r="E60" s="31">
        <v>5800</v>
      </c>
      <c r="F60" s="31">
        <f>D60*E60</f>
        <v>92800</v>
      </c>
      <c r="G60" s="31"/>
      <c r="H60" s="21">
        <f t="shared" si="0"/>
        <v>0</v>
      </c>
      <c r="I60" s="2"/>
      <c r="J60" s="2"/>
      <c r="K60" s="2"/>
      <c r="L60" s="2"/>
      <c r="M60" s="2"/>
      <c r="N60" s="2"/>
      <c r="O60" s="2"/>
      <c r="P60" s="2"/>
      <c r="Q60" s="2"/>
      <c r="R60" s="2"/>
      <c r="S60" s="2"/>
      <c r="T60" s="2"/>
      <c r="U60" s="2"/>
      <c r="V60" s="2"/>
      <c r="W60" s="2"/>
      <c r="X60" s="2"/>
      <c r="Y60" s="2"/>
      <c r="Z60" s="2"/>
    </row>
    <row r="61" spans="1:26" ht="20.25" customHeight="1">
      <c r="A61" s="12" t="s">
        <v>248</v>
      </c>
      <c r="B61" s="24" t="s">
        <v>249</v>
      </c>
      <c r="C61" s="26"/>
      <c r="D61" s="15"/>
      <c r="E61" s="32"/>
      <c r="F61" s="32"/>
      <c r="G61" s="32"/>
      <c r="H61" s="21">
        <f t="shared" si="0"/>
        <v>0</v>
      </c>
      <c r="I61" s="34"/>
      <c r="J61" s="34"/>
      <c r="K61" s="16"/>
      <c r="L61" s="16"/>
      <c r="M61" s="16"/>
      <c r="N61" s="16"/>
      <c r="O61" s="16"/>
      <c r="P61" s="16"/>
      <c r="Q61" s="16"/>
      <c r="R61" s="16"/>
      <c r="S61" s="16"/>
      <c r="T61" s="16"/>
      <c r="U61" s="16"/>
      <c r="V61" s="16"/>
      <c r="W61" s="16"/>
      <c r="X61" s="16"/>
      <c r="Y61" s="16"/>
      <c r="Z61" s="16"/>
    </row>
    <row r="62" spans="1:26" ht="18.75" customHeight="1">
      <c r="A62" s="17" t="s">
        <v>250</v>
      </c>
      <c r="B62" s="18" t="s">
        <v>251</v>
      </c>
      <c r="C62" s="19" t="s">
        <v>67</v>
      </c>
      <c r="D62" s="20">
        <v>171</v>
      </c>
      <c r="E62" s="31">
        <v>320</v>
      </c>
      <c r="F62" s="31">
        <f>D62*E62</f>
        <v>54720</v>
      </c>
      <c r="G62" s="31"/>
      <c r="H62" s="21">
        <f t="shared" si="0"/>
        <v>0</v>
      </c>
      <c r="I62" s="2"/>
      <c r="J62" s="2"/>
      <c r="K62" s="2"/>
      <c r="L62" s="2"/>
      <c r="M62" s="2"/>
      <c r="N62" s="2"/>
      <c r="O62" s="2"/>
      <c r="P62" s="2"/>
      <c r="Q62" s="2"/>
      <c r="R62" s="2"/>
      <c r="S62" s="2"/>
      <c r="T62" s="2"/>
      <c r="U62" s="2"/>
      <c r="V62" s="2"/>
      <c r="W62" s="2"/>
      <c r="X62" s="2"/>
      <c r="Y62" s="2"/>
      <c r="Z62" s="2"/>
    </row>
    <row r="63" spans="1:26" ht="20.25" customHeight="1">
      <c r="A63" s="12" t="s">
        <v>252</v>
      </c>
      <c r="B63" s="24" t="s">
        <v>253</v>
      </c>
      <c r="C63" s="26"/>
      <c r="D63" s="15"/>
      <c r="E63" s="32"/>
      <c r="F63" s="32"/>
      <c r="G63" s="32"/>
      <c r="H63" s="21">
        <f t="shared" si="0"/>
        <v>0</v>
      </c>
      <c r="I63" s="34"/>
      <c r="J63" s="34"/>
      <c r="K63" s="16"/>
      <c r="L63" s="16"/>
      <c r="M63" s="16"/>
      <c r="N63" s="16"/>
      <c r="O63" s="16"/>
      <c r="P63" s="16"/>
      <c r="Q63" s="16"/>
      <c r="R63" s="16"/>
      <c r="S63" s="16"/>
      <c r="T63" s="16"/>
      <c r="U63" s="16"/>
      <c r="V63" s="16"/>
      <c r="W63" s="16"/>
      <c r="X63" s="16"/>
      <c r="Y63" s="16"/>
      <c r="Z63" s="16"/>
    </row>
    <row r="64" spans="1:26" ht="38.25" customHeight="1">
      <c r="A64" s="17" t="s">
        <v>254</v>
      </c>
      <c r="B64" s="18" t="s">
        <v>255</v>
      </c>
      <c r="C64" s="22" t="s">
        <v>96</v>
      </c>
      <c r="D64" s="20">
        <v>64</v>
      </c>
      <c r="E64" s="31">
        <v>350</v>
      </c>
      <c r="F64" s="31">
        <f>D64*E64</f>
        <v>22400</v>
      </c>
      <c r="G64" s="31"/>
      <c r="H64" s="21">
        <f t="shared" si="0"/>
        <v>0</v>
      </c>
    </row>
    <row r="65" spans="1:26" ht="18.75" customHeight="1">
      <c r="A65" s="17" t="s">
        <v>256</v>
      </c>
      <c r="B65" s="18" t="s">
        <v>257</v>
      </c>
      <c r="C65" s="22" t="s">
        <v>96</v>
      </c>
      <c r="D65" s="20">
        <v>88</v>
      </c>
      <c r="E65" s="31">
        <v>440</v>
      </c>
      <c r="F65" s="31">
        <f>D65*E65</f>
        <v>38720</v>
      </c>
      <c r="G65" s="31"/>
      <c r="H65" s="21">
        <f t="shared" si="0"/>
        <v>0</v>
      </c>
    </row>
    <row r="66" spans="1:26" ht="18.75" customHeight="1">
      <c r="A66" s="12" t="s">
        <v>258</v>
      </c>
      <c r="B66" s="13" t="s">
        <v>362</v>
      </c>
      <c r="C66" s="26"/>
      <c r="D66" s="15"/>
      <c r="E66" s="32"/>
      <c r="F66" s="32"/>
      <c r="G66" s="32"/>
      <c r="H66" s="21">
        <f t="shared" si="0"/>
        <v>0</v>
      </c>
      <c r="I66" s="16"/>
      <c r="J66" s="16"/>
      <c r="K66" s="16"/>
      <c r="L66" s="16"/>
      <c r="M66" s="16"/>
      <c r="N66" s="16"/>
      <c r="O66" s="16"/>
      <c r="P66" s="16"/>
      <c r="Q66" s="16"/>
      <c r="R66" s="16"/>
      <c r="S66" s="16"/>
      <c r="T66" s="16"/>
      <c r="U66" s="16"/>
      <c r="V66" s="16"/>
      <c r="W66" s="16"/>
      <c r="X66" s="16"/>
      <c r="Y66" s="16"/>
      <c r="Z66" s="16"/>
    </row>
    <row r="67" spans="1:26" ht="24" customHeight="1">
      <c r="A67" s="17" t="s">
        <v>260</v>
      </c>
      <c r="B67" s="18" t="s">
        <v>261</v>
      </c>
      <c r="C67" s="22" t="s">
        <v>113</v>
      </c>
      <c r="D67" s="20">
        <v>27</v>
      </c>
      <c r="E67" s="31">
        <v>520</v>
      </c>
      <c r="F67" s="31">
        <f>D67*E67</f>
        <v>14040</v>
      </c>
      <c r="G67" s="31"/>
      <c r="H67" s="21">
        <f t="shared" si="0"/>
        <v>0</v>
      </c>
    </row>
    <row r="68" spans="1:26" s="191" customFormat="1" ht="18.75" customHeight="1">
      <c r="A68" s="12" t="s">
        <v>258</v>
      </c>
      <c r="B68" s="13" t="s">
        <v>259</v>
      </c>
      <c r="C68" s="26"/>
      <c r="D68" s="15"/>
      <c r="E68" s="32"/>
      <c r="F68" s="32"/>
      <c r="G68" s="32"/>
      <c r="H68" s="21">
        <f t="shared" si="0"/>
        <v>0</v>
      </c>
      <c r="I68" s="16"/>
      <c r="J68" s="16"/>
      <c r="K68" s="16"/>
      <c r="L68" s="16"/>
      <c r="M68" s="16"/>
      <c r="N68" s="16"/>
      <c r="O68" s="16"/>
      <c r="P68" s="16"/>
      <c r="Q68" s="16"/>
      <c r="R68" s="16"/>
      <c r="S68" s="16"/>
      <c r="T68" s="16"/>
      <c r="U68" s="16"/>
      <c r="V68" s="16"/>
      <c r="W68" s="16"/>
      <c r="X68" s="16"/>
      <c r="Y68" s="16"/>
      <c r="Z68" s="16"/>
    </row>
    <row r="69" spans="1:26" ht="15.75" customHeight="1">
      <c r="A69" s="17" t="s">
        <v>262</v>
      </c>
      <c r="B69" s="18" t="s">
        <v>263</v>
      </c>
      <c r="C69" s="22" t="s">
        <v>96</v>
      </c>
      <c r="D69" s="20">
        <v>16</v>
      </c>
      <c r="E69" s="31">
        <v>930</v>
      </c>
      <c r="F69" s="31">
        <f>D69*E69</f>
        <v>14880</v>
      </c>
      <c r="G69" s="31"/>
      <c r="H69" s="21">
        <f t="shared" si="0"/>
        <v>0</v>
      </c>
    </row>
    <row r="70" spans="1:26" ht="15.75" customHeight="1">
      <c r="A70" s="17" t="s">
        <v>264</v>
      </c>
      <c r="B70" s="18" t="s">
        <v>265</v>
      </c>
      <c r="C70" s="22" t="s">
        <v>96</v>
      </c>
      <c r="D70" s="20">
        <v>8</v>
      </c>
      <c r="E70" s="31">
        <v>1200</v>
      </c>
      <c r="F70" s="31">
        <f>D70*E70</f>
        <v>9600</v>
      </c>
      <c r="G70" s="31"/>
      <c r="H70" s="21">
        <f t="shared" si="0"/>
        <v>0</v>
      </c>
    </row>
    <row r="71" spans="1:26" ht="15.75" customHeight="1">
      <c r="A71" s="17" t="s">
        <v>266</v>
      </c>
      <c r="B71" s="18" t="s">
        <v>267</v>
      </c>
      <c r="C71" s="22" t="s">
        <v>96</v>
      </c>
      <c r="D71" s="20">
        <v>8</v>
      </c>
      <c r="E71" s="31">
        <v>1400</v>
      </c>
      <c r="F71" s="31">
        <f>D71*E71</f>
        <v>11200</v>
      </c>
      <c r="G71" s="31"/>
      <c r="H71" s="21">
        <f t="shared" si="0"/>
        <v>0</v>
      </c>
    </row>
    <row r="72" spans="1:26" ht="15.75" customHeight="1">
      <c r="A72" s="17" t="s">
        <v>268</v>
      </c>
      <c r="B72" s="18" t="s">
        <v>269</v>
      </c>
      <c r="C72" s="22" t="s">
        <v>96</v>
      </c>
      <c r="D72" s="20">
        <v>8</v>
      </c>
      <c r="E72" s="31">
        <v>6500</v>
      </c>
      <c r="F72" s="31">
        <f>D72*E72</f>
        <v>52000</v>
      </c>
      <c r="G72" s="31"/>
      <c r="H72" s="21">
        <f t="shared" si="0"/>
        <v>0</v>
      </c>
    </row>
    <row r="73" spans="1:26" ht="15.75" customHeight="1">
      <c r="A73" s="17" t="s">
        <v>270</v>
      </c>
      <c r="B73" s="18" t="s">
        <v>271</v>
      </c>
      <c r="C73" s="22" t="s">
        <v>96</v>
      </c>
      <c r="D73" s="20">
        <v>8</v>
      </c>
      <c r="E73" s="31">
        <v>950</v>
      </c>
      <c r="F73" s="31">
        <f>D73*E73</f>
        <v>7600</v>
      </c>
      <c r="G73" s="31"/>
      <c r="H73" s="21">
        <f t="shared" ref="H73" si="1">G73*D73</f>
        <v>0</v>
      </c>
    </row>
    <row r="74" spans="1:26" ht="20.25" customHeight="1">
      <c r="A74" s="23"/>
      <c r="B74" s="47" t="s">
        <v>272</v>
      </c>
      <c r="C74" s="22"/>
      <c r="D74" s="20"/>
      <c r="E74" s="31"/>
      <c r="F74" s="48">
        <f>SUM(F1:F73)</f>
        <v>2666760.2000000002</v>
      </c>
      <c r="G74" s="31"/>
      <c r="H74" s="48">
        <f>SUM(H1:H73)</f>
        <v>0</v>
      </c>
    </row>
    <row r="75" spans="1:26" ht="15.75" customHeight="1">
      <c r="A75" s="23"/>
      <c r="B75" s="18" t="s">
        <v>273</v>
      </c>
      <c r="C75" s="22" t="s">
        <v>274</v>
      </c>
      <c r="D75" s="20">
        <v>10</v>
      </c>
      <c r="E75" s="5"/>
      <c r="F75" s="31"/>
      <c r="G75" s="5"/>
      <c r="H75" s="31"/>
    </row>
    <row r="76" spans="1:26" ht="15.75" customHeight="1">
      <c r="A76" s="23"/>
      <c r="B76" s="18" t="s">
        <v>275</v>
      </c>
      <c r="C76" s="22" t="s">
        <v>274</v>
      </c>
      <c r="D76" s="20">
        <v>12</v>
      </c>
      <c r="E76" s="31">
        <f>F74/100</f>
        <v>26667.602000000003</v>
      </c>
      <c r="F76" s="31">
        <f>D76*E76</f>
        <v>320011.22400000005</v>
      </c>
      <c r="G76" s="31">
        <f>H74/100</f>
        <v>0</v>
      </c>
      <c r="H76" s="31">
        <f>F76*G76</f>
        <v>0</v>
      </c>
    </row>
    <row r="77" spans="1:26" ht="15.75" customHeight="1">
      <c r="A77" s="23"/>
      <c r="B77" s="18" t="s">
        <v>272</v>
      </c>
      <c r="C77" s="6"/>
      <c r="D77" s="6"/>
      <c r="E77" s="5"/>
      <c r="F77" s="31"/>
      <c r="G77" s="5"/>
      <c r="H77" s="31"/>
    </row>
    <row r="78" spans="1:26" ht="15.75" customHeight="1">
      <c r="A78" s="2"/>
      <c r="B78" s="2"/>
      <c r="C78" s="2"/>
      <c r="D78" s="2"/>
      <c r="E78" s="2"/>
      <c r="F78" s="1"/>
      <c r="G78" s="2"/>
      <c r="H78" s="1"/>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1"/>
      <c r="G79" s="2"/>
      <c r="H79" s="1"/>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1"/>
      <c r="G80" s="2"/>
      <c r="H80" s="1"/>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1"/>
      <c r="G81" s="2"/>
      <c r="H81" s="1"/>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1"/>
      <c r="G82" s="2"/>
      <c r="H82" s="1"/>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1"/>
      <c r="G83" s="2"/>
      <c r="H83" s="1"/>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1"/>
      <c r="G84" s="2"/>
      <c r="H84" s="1"/>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1"/>
      <c r="G85" s="2"/>
      <c r="H85" s="1"/>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1"/>
      <c r="G86" s="2"/>
      <c r="H86" s="1"/>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1"/>
      <c r="G87" s="2"/>
      <c r="H87" s="1"/>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1"/>
      <c r="G88" s="2"/>
      <c r="H88" s="1"/>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1"/>
      <c r="G89" s="2"/>
      <c r="H89" s="1"/>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1"/>
      <c r="G90" s="2"/>
      <c r="H90" s="1"/>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1"/>
      <c r="G91" s="2"/>
      <c r="H91" s="1"/>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1"/>
      <c r="G92" s="2"/>
      <c r="H92" s="1"/>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1"/>
      <c r="G93" s="2"/>
      <c r="H93" s="1"/>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1"/>
      <c r="G94" s="2"/>
      <c r="H94" s="1"/>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1"/>
      <c r="G95" s="2"/>
      <c r="H95" s="1"/>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1"/>
      <c r="G96" s="2"/>
      <c r="H96" s="1"/>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1"/>
      <c r="G97" s="2"/>
      <c r="H97" s="1"/>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1"/>
      <c r="G98" s="2"/>
      <c r="H98" s="1"/>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1"/>
      <c r="G99" s="2"/>
      <c r="H99" s="1"/>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1"/>
      <c r="G100" s="2"/>
      <c r="H100" s="1"/>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1"/>
      <c r="G101" s="2"/>
      <c r="H101" s="1"/>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1"/>
      <c r="G102" s="2"/>
      <c r="H102" s="1"/>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1"/>
      <c r="G103" s="2"/>
      <c r="H103" s="1"/>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1"/>
      <c r="G104" s="2"/>
      <c r="H104" s="1"/>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1"/>
      <c r="G105" s="2"/>
      <c r="H105" s="1"/>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1"/>
      <c r="G106" s="2"/>
      <c r="H106" s="1"/>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1"/>
      <c r="G107" s="2"/>
      <c r="H107" s="1"/>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1"/>
      <c r="G108" s="2"/>
      <c r="H108" s="1"/>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1"/>
      <c r="G109" s="2"/>
      <c r="H109" s="1"/>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1"/>
      <c r="G110" s="2"/>
      <c r="H110" s="1"/>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1"/>
      <c r="G111" s="2"/>
      <c r="H111" s="1"/>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1"/>
      <c r="G112" s="2"/>
      <c r="H112" s="1"/>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1"/>
      <c r="G113" s="2"/>
      <c r="H113" s="1"/>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1"/>
      <c r="G114" s="2"/>
      <c r="H114" s="1"/>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1"/>
      <c r="G115" s="2"/>
      <c r="H115" s="1"/>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1"/>
      <c r="G116" s="2"/>
      <c r="H116" s="1"/>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1"/>
      <c r="G117" s="2"/>
      <c r="H117" s="1"/>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1"/>
      <c r="G118" s="2"/>
      <c r="H118" s="1"/>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1"/>
      <c r="G119" s="2"/>
      <c r="H119" s="1"/>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1"/>
      <c r="G120" s="2"/>
      <c r="H120" s="1"/>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1"/>
      <c r="G121" s="2"/>
      <c r="H121" s="1"/>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1"/>
      <c r="G122" s="2"/>
      <c r="H122" s="1"/>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1"/>
      <c r="G123" s="2"/>
      <c r="H123" s="1"/>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1"/>
      <c r="G124" s="2"/>
      <c r="H124" s="1"/>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1"/>
      <c r="G125" s="2"/>
      <c r="H125" s="1"/>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1"/>
      <c r="G126" s="2"/>
      <c r="H126" s="1"/>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1"/>
      <c r="G127" s="2"/>
      <c r="H127" s="1"/>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1"/>
      <c r="G128" s="2"/>
      <c r="H128" s="1"/>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1"/>
      <c r="G129" s="2"/>
      <c r="H129" s="1"/>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1"/>
      <c r="G130" s="2"/>
      <c r="H130" s="1"/>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1"/>
      <c r="G131" s="2"/>
      <c r="H131" s="1"/>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1"/>
      <c r="G132" s="2"/>
      <c r="H132" s="1"/>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1"/>
      <c r="G133" s="2"/>
      <c r="H133" s="1"/>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1"/>
      <c r="G134" s="2"/>
      <c r="H134" s="1"/>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1"/>
      <c r="G135" s="2"/>
      <c r="H135" s="1"/>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1"/>
      <c r="G136" s="2"/>
      <c r="H136" s="1"/>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1"/>
      <c r="G137" s="2"/>
      <c r="H137" s="1"/>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1"/>
      <c r="G138" s="2"/>
      <c r="H138" s="1"/>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1"/>
      <c r="G139" s="2"/>
      <c r="H139" s="1"/>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1"/>
      <c r="G140" s="2"/>
      <c r="H140" s="1"/>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1"/>
      <c r="G141" s="2"/>
      <c r="H141" s="1"/>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1"/>
      <c r="G142" s="2"/>
      <c r="H142" s="1"/>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1"/>
      <c r="G143" s="2"/>
      <c r="H143" s="1"/>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1"/>
      <c r="G144" s="2"/>
      <c r="H144" s="1"/>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1"/>
      <c r="G145" s="2"/>
      <c r="H145" s="1"/>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1"/>
      <c r="G146" s="2"/>
      <c r="H146" s="1"/>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1"/>
      <c r="G147" s="2"/>
      <c r="H147" s="1"/>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1"/>
      <c r="G148" s="2"/>
      <c r="H148" s="1"/>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1"/>
      <c r="G149" s="2"/>
      <c r="H149" s="1"/>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1"/>
      <c r="G150" s="2"/>
      <c r="H150" s="1"/>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1"/>
      <c r="G151" s="2"/>
      <c r="H151" s="1"/>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1"/>
      <c r="G152" s="2"/>
      <c r="H152" s="1"/>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1"/>
      <c r="G153" s="2"/>
      <c r="H153" s="1"/>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1"/>
      <c r="G154" s="2"/>
      <c r="H154" s="1"/>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1"/>
      <c r="G155" s="2"/>
      <c r="H155" s="1"/>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1"/>
      <c r="G156" s="2"/>
      <c r="H156" s="1"/>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1"/>
      <c r="G157" s="2"/>
      <c r="H157" s="1"/>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1"/>
      <c r="G158" s="2"/>
      <c r="H158" s="1"/>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1"/>
      <c r="G159" s="2"/>
      <c r="H159" s="1"/>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1"/>
      <c r="G160" s="2"/>
      <c r="H160" s="1"/>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1"/>
      <c r="G161" s="2"/>
      <c r="H161" s="1"/>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1"/>
      <c r="G162" s="2"/>
      <c r="H162" s="1"/>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1"/>
      <c r="G163" s="2"/>
      <c r="H163" s="1"/>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1"/>
      <c r="G164" s="2"/>
      <c r="H164" s="1"/>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1"/>
      <c r="G165" s="2"/>
      <c r="H165" s="1"/>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1"/>
      <c r="G166" s="2"/>
      <c r="H166" s="1"/>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1"/>
      <c r="G167" s="2"/>
      <c r="H167" s="1"/>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1"/>
      <c r="G168" s="2"/>
      <c r="H168" s="1"/>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1"/>
      <c r="G169" s="2"/>
      <c r="H169" s="1"/>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1"/>
      <c r="G170" s="2"/>
      <c r="H170" s="1"/>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1"/>
      <c r="G171" s="2"/>
      <c r="H171" s="1"/>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1"/>
      <c r="G172" s="2"/>
      <c r="H172" s="1"/>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1"/>
      <c r="G173" s="2"/>
      <c r="H173" s="1"/>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1"/>
      <c r="G174" s="2"/>
      <c r="H174" s="1"/>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1"/>
      <c r="G175" s="2"/>
      <c r="H175" s="1"/>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1"/>
      <c r="G176" s="2"/>
      <c r="H176" s="1"/>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1"/>
      <c r="G177" s="2"/>
      <c r="H177" s="1"/>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1"/>
      <c r="G178" s="2"/>
      <c r="H178" s="1"/>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1"/>
      <c r="G179" s="2"/>
      <c r="H179" s="1"/>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1"/>
      <c r="G180" s="2"/>
      <c r="H180" s="1"/>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1"/>
      <c r="G181" s="2"/>
      <c r="H181" s="1"/>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1"/>
      <c r="G182" s="2"/>
      <c r="H182" s="1"/>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1"/>
      <c r="G183" s="2"/>
      <c r="H183" s="1"/>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1"/>
      <c r="G184" s="2"/>
      <c r="H184" s="1"/>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1"/>
      <c r="G185" s="2"/>
      <c r="H185" s="1"/>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1"/>
      <c r="G186" s="2"/>
      <c r="H186" s="1"/>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1"/>
      <c r="G187" s="2"/>
      <c r="H187" s="1"/>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1"/>
      <c r="G188" s="2"/>
      <c r="H188" s="1"/>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1"/>
      <c r="G189" s="2"/>
      <c r="H189" s="1"/>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1"/>
      <c r="G190" s="2"/>
      <c r="H190" s="1"/>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1"/>
      <c r="G191" s="2"/>
      <c r="H191" s="1"/>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1"/>
      <c r="G192" s="2"/>
      <c r="H192" s="1"/>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1"/>
      <c r="G193" s="2"/>
      <c r="H193" s="1"/>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1"/>
      <c r="G194" s="2"/>
      <c r="H194" s="1"/>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1"/>
      <c r="G195" s="2"/>
      <c r="H195" s="1"/>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1"/>
      <c r="G196" s="2"/>
      <c r="H196" s="1"/>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1"/>
      <c r="G197" s="2"/>
      <c r="H197" s="1"/>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1"/>
      <c r="G198" s="2"/>
      <c r="H198" s="1"/>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1"/>
      <c r="G199" s="2"/>
      <c r="H199" s="1"/>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1"/>
      <c r="G200" s="2"/>
      <c r="H200" s="1"/>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1"/>
      <c r="G201" s="2"/>
      <c r="H201" s="1"/>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1"/>
      <c r="G202" s="2"/>
      <c r="H202" s="1"/>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1"/>
      <c r="G203" s="2"/>
      <c r="H203" s="1"/>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1"/>
      <c r="G204" s="2"/>
      <c r="H204" s="1"/>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1"/>
      <c r="G205" s="2"/>
      <c r="H205" s="1"/>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1"/>
      <c r="G206" s="2"/>
      <c r="H206" s="1"/>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1"/>
      <c r="G207" s="2"/>
      <c r="H207" s="1"/>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1"/>
      <c r="G208" s="2"/>
      <c r="H208" s="1"/>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1"/>
      <c r="G209" s="2"/>
      <c r="H209" s="1"/>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1"/>
      <c r="G210" s="2"/>
      <c r="H210" s="1"/>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1"/>
      <c r="G211" s="2"/>
      <c r="H211" s="1"/>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1"/>
      <c r="G212" s="2"/>
      <c r="H212" s="1"/>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1"/>
      <c r="G213" s="2"/>
      <c r="H213" s="1"/>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1"/>
      <c r="G214" s="2"/>
      <c r="H214" s="1"/>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1"/>
      <c r="G215" s="2"/>
      <c r="H215" s="1"/>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1"/>
      <c r="G216" s="2"/>
      <c r="H216" s="1"/>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1"/>
      <c r="G217" s="2"/>
      <c r="H217" s="1"/>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1"/>
      <c r="G218" s="2"/>
      <c r="H218" s="1"/>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1"/>
      <c r="G219" s="2"/>
      <c r="H219" s="1"/>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1"/>
      <c r="G220" s="2"/>
      <c r="H220" s="1"/>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1"/>
      <c r="G221" s="2"/>
      <c r="H221" s="1"/>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1"/>
      <c r="G222" s="2"/>
      <c r="H222" s="1"/>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1"/>
      <c r="G223" s="2"/>
      <c r="H223" s="1"/>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1"/>
      <c r="G224" s="2"/>
      <c r="H224" s="1"/>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1"/>
      <c r="G225" s="2"/>
      <c r="H225" s="1"/>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1"/>
      <c r="G226" s="2"/>
      <c r="H226" s="1"/>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1"/>
      <c r="G227" s="2"/>
      <c r="H227" s="1"/>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1"/>
      <c r="G228" s="2"/>
      <c r="H228" s="1"/>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1"/>
      <c r="G229" s="2"/>
      <c r="H229" s="1"/>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1"/>
      <c r="G230" s="2"/>
      <c r="H230" s="1"/>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1"/>
      <c r="G231" s="2"/>
      <c r="H231" s="1"/>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1"/>
      <c r="G232" s="2"/>
      <c r="H232" s="1"/>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1"/>
      <c r="G233" s="2"/>
      <c r="H233" s="1"/>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1"/>
      <c r="G234" s="2"/>
      <c r="H234" s="1"/>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1"/>
      <c r="G235" s="2"/>
      <c r="H235" s="1"/>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1"/>
      <c r="G236" s="2"/>
      <c r="H236" s="1"/>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1"/>
      <c r="G237" s="2"/>
      <c r="H237" s="1"/>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1"/>
      <c r="G238" s="2"/>
      <c r="H238" s="1"/>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1"/>
      <c r="G239" s="2"/>
      <c r="H239" s="1"/>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1"/>
      <c r="G240" s="2"/>
      <c r="H240" s="1"/>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1"/>
      <c r="G241" s="2"/>
      <c r="H241" s="1"/>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1"/>
      <c r="G242" s="2"/>
      <c r="H242" s="1"/>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1"/>
      <c r="G243" s="2"/>
      <c r="H243" s="1"/>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1"/>
      <c r="G244" s="2"/>
      <c r="H244" s="1"/>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1"/>
      <c r="G245" s="2"/>
      <c r="H245" s="1"/>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1"/>
      <c r="G246" s="2"/>
      <c r="H246" s="1"/>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1"/>
      <c r="G247" s="2"/>
      <c r="H247" s="1"/>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1"/>
      <c r="G248" s="2"/>
      <c r="H248" s="1"/>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1"/>
      <c r="G249" s="2"/>
      <c r="H249" s="1"/>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1"/>
      <c r="G250" s="2"/>
      <c r="H250" s="1"/>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1"/>
      <c r="G251" s="2"/>
      <c r="H251" s="1"/>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1"/>
      <c r="G252" s="2"/>
      <c r="H252" s="1"/>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1"/>
      <c r="G253" s="2"/>
      <c r="H253" s="1"/>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1"/>
      <c r="G254" s="2"/>
      <c r="H254" s="1"/>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1"/>
      <c r="G255" s="2"/>
      <c r="H255" s="1"/>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1"/>
      <c r="G256" s="2"/>
      <c r="H256" s="1"/>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1"/>
      <c r="G257" s="2"/>
      <c r="H257" s="1"/>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1"/>
      <c r="G258" s="2"/>
      <c r="H258" s="1"/>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1"/>
      <c r="G259" s="2"/>
      <c r="H259" s="1"/>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1"/>
      <c r="G260" s="2"/>
      <c r="H260" s="1"/>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1"/>
      <c r="G261" s="2"/>
      <c r="H261" s="1"/>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1"/>
      <c r="G262" s="2"/>
      <c r="H262" s="1"/>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1"/>
      <c r="G263" s="2"/>
      <c r="H263" s="1"/>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1"/>
      <c r="G264" s="2"/>
      <c r="H264" s="1"/>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1"/>
      <c r="G265" s="2"/>
      <c r="H265" s="1"/>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1"/>
      <c r="G266" s="2"/>
      <c r="H266" s="1"/>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1"/>
      <c r="G267" s="2"/>
      <c r="H267" s="1"/>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1"/>
      <c r="G268" s="2"/>
      <c r="H268" s="1"/>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1"/>
      <c r="G269" s="2"/>
      <c r="H269" s="1"/>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1"/>
      <c r="G270" s="2"/>
      <c r="H270" s="1"/>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1"/>
      <c r="G271" s="2"/>
      <c r="H271" s="1"/>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1"/>
      <c r="G272" s="2"/>
      <c r="H272" s="1"/>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1"/>
      <c r="G273" s="2"/>
      <c r="H273" s="1"/>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1"/>
      <c r="G274" s="2"/>
      <c r="H274" s="1"/>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1"/>
      <c r="G275" s="2"/>
      <c r="H275" s="1"/>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1"/>
      <c r="G276" s="2"/>
      <c r="H276" s="1"/>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1"/>
      <c r="G277" s="2"/>
      <c r="H277" s="1"/>
      <c r="I277" s="2"/>
      <c r="J277" s="2"/>
      <c r="K277" s="2"/>
      <c r="L277" s="2"/>
      <c r="M277" s="2"/>
      <c r="N277" s="2"/>
      <c r="O277" s="2"/>
      <c r="P277" s="2"/>
      <c r="Q277" s="2"/>
      <c r="R277" s="2"/>
      <c r="S277" s="2"/>
      <c r="T277" s="2"/>
      <c r="U277" s="2"/>
      <c r="V277" s="2"/>
      <c r="W277" s="2"/>
      <c r="X277" s="2"/>
      <c r="Y277" s="2"/>
      <c r="Z277" s="2"/>
    </row>
    <row r="278" spans="1:26" ht="15.75" customHeight="1"/>
    <row r="279" spans="1:26" ht="15.75" customHeight="1"/>
    <row r="280" spans="1:26" ht="15.75" customHeight="1"/>
    <row r="281" spans="1:26" ht="15.75" customHeight="1"/>
    <row r="282" spans="1:26" ht="15.75" customHeight="1"/>
    <row r="283" spans="1:26" ht="15.75" customHeight="1"/>
    <row r="284" spans="1:26" ht="15.75" customHeight="1"/>
    <row r="285" spans="1:26" ht="15.75" customHeight="1"/>
    <row r="286" spans="1:26" ht="15.75" customHeight="1"/>
    <row r="287" spans="1:26" ht="15.75" customHeight="1"/>
    <row r="288" spans="1:2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sheetData>
  <mergeCells count="10">
    <mergeCell ref="G6:H6"/>
    <mergeCell ref="B1:F1"/>
    <mergeCell ref="B2:F2"/>
    <mergeCell ref="A3:F3"/>
    <mergeCell ref="A4:F4"/>
    <mergeCell ref="A5:A6"/>
    <mergeCell ref="B5:B6"/>
    <mergeCell ref="C5:C6"/>
    <mergeCell ref="D5:D6"/>
    <mergeCell ref="E6:F6"/>
  </mergeCells>
  <pageMargins left="0.39374999999999999" right="0.196527777777778" top="0.39374999999999999" bottom="0.39374999999999999" header="0" footer="0"/>
  <pageSetup paperSize="9" scale="88"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2"/>
  <sheetViews>
    <sheetView workbookViewId="0">
      <pane ySplit="1" topLeftCell="A2" activePane="bottomLeft" state="frozen"/>
      <selection pane="bottomLeft" activeCell="B3" sqref="B3"/>
    </sheetView>
  </sheetViews>
  <sheetFormatPr defaultColWidth="14.42578125" defaultRowHeight="15" customHeight="1"/>
  <cols>
    <col min="1" max="1" width="6.140625" customWidth="1"/>
    <col min="2" max="2" width="55.28515625" customWidth="1"/>
    <col min="3" max="3" width="18.140625" customWidth="1"/>
    <col min="4" max="4" width="17.5703125" customWidth="1"/>
    <col min="5" max="5" width="15" customWidth="1"/>
    <col min="6" max="6" width="16.42578125" customWidth="1"/>
    <col min="7" max="25" width="8.7109375" customWidth="1"/>
  </cols>
  <sheetData>
    <row r="1" spans="1:26" ht="42.75">
      <c r="A1" s="49" t="s">
        <v>0</v>
      </c>
      <c r="B1" s="49" t="s">
        <v>1</v>
      </c>
      <c r="C1" s="50" t="s">
        <v>276</v>
      </c>
      <c r="D1" s="50" t="s">
        <v>277</v>
      </c>
      <c r="E1" s="51" t="s">
        <v>2</v>
      </c>
      <c r="F1" s="51" t="s">
        <v>278</v>
      </c>
      <c r="G1" s="1"/>
      <c r="H1" s="1"/>
      <c r="I1" s="1"/>
      <c r="J1" s="1"/>
      <c r="K1" s="1"/>
      <c r="L1" s="1"/>
      <c r="M1" s="1"/>
      <c r="N1" s="1"/>
      <c r="O1" s="1"/>
      <c r="P1" s="1"/>
      <c r="Q1" s="1"/>
      <c r="R1" s="1"/>
      <c r="S1" s="1"/>
      <c r="T1" s="1"/>
      <c r="U1" s="1"/>
      <c r="V1" s="1"/>
      <c r="W1" s="1"/>
      <c r="X1" s="1"/>
      <c r="Y1" s="1"/>
      <c r="Z1" s="2"/>
    </row>
    <row r="2" spans="1:26">
      <c r="A2" s="3">
        <v>1</v>
      </c>
      <c r="B2" s="6" t="s">
        <v>279</v>
      </c>
      <c r="C2" s="52" t="e">
        <f>SUM(Смета_лит.Е!#REF!)</f>
        <v>#REF!</v>
      </c>
      <c r="D2" s="5" t="e">
        <f t="shared" ref="D2:D17" si="0">C2*90%</f>
        <v>#REF!</v>
      </c>
      <c r="E2" s="5" t="e">
        <f>SUM(Смета_лит.Е!#REF!)</f>
        <v>#REF!</v>
      </c>
      <c r="F2" s="5" t="e">
        <f>E2*57%</f>
        <v>#REF!</v>
      </c>
      <c r="G2" s="2"/>
      <c r="H2" s="2"/>
      <c r="I2" s="2"/>
      <c r="J2" s="2"/>
      <c r="K2" s="2"/>
      <c r="L2" s="2"/>
      <c r="M2" s="2"/>
      <c r="N2" s="2"/>
      <c r="O2" s="2"/>
      <c r="P2" s="2"/>
      <c r="Q2" s="2"/>
      <c r="R2" s="2"/>
      <c r="S2" s="2"/>
      <c r="T2" s="2"/>
      <c r="U2" s="2"/>
      <c r="V2" s="2"/>
      <c r="W2" s="2"/>
      <c r="X2" s="2"/>
      <c r="Y2" s="2"/>
      <c r="Z2" s="2"/>
    </row>
    <row r="3" spans="1:26">
      <c r="A3" s="3">
        <v>2</v>
      </c>
      <c r="B3" s="6" t="s">
        <v>8</v>
      </c>
      <c r="C3" s="52" t="e">
        <f>SUM(Смета_лит.Е!#REF!)</f>
        <v>#REF!</v>
      </c>
      <c r="D3" s="5" t="e">
        <f t="shared" si="0"/>
        <v>#REF!</v>
      </c>
      <c r="E3" s="5" t="e">
        <f>SUM(Смета_лит.Е!#REF!)</f>
        <v>#REF!</v>
      </c>
      <c r="F3" s="5" t="e">
        <f t="shared" ref="F3:F35" si="1">E3*65%</f>
        <v>#REF!</v>
      </c>
      <c r="G3" s="2"/>
      <c r="H3" s="2"/>
      <c r="I3" s="2"/>
      <c r="J3" s="2"/>
      <c r="K3" s="2"/>
      <c r="L3" s="2"/>
      <c r="M3" s="2"/>
      <c r="N3" s="2"/>
      <c r="O3" s="2"/>
      <c r="P3" s="2"/>
      <c r="Q3" s="2"/>
      <c r="R3" s="2"/>
      <c r="S3" s="2"/>
      <c r="T3" s="2"/>
      <c r="U3" s="2"/>
      <c r="V3" s="2"/>
      <c r="W3" s="2"/>
      <c r="X3" s="2"/>
      <c r="Y3" s="2"/>
      <c r="Z3" s="2"/>
    </row>
    <row r="4" spans="1:26">
      <c r="A4" s="3">
        <v>3</v>
      </c>
      <c r="B4" s="6" t="s">
        <v>9</v>
      </c>
      <c r="C4" s="52" t="e">
        <f>SUM(Смета_лит.Е!#REF!)</f>
        <v>#REF!</v>
      </c>
      <c r="D4" s="5" t="e">
        <f t="shared" si="0"/>
        <v>#REF!</v>
      </c>
      <c r="E4" s="5" t="e">
        <f>SUM(Смета_лит.Е!#REF!)</f>
        <v>#REF!</v>
      </c>
      <c r="F4" s="5" t="e">
        <f t="shared" si="1"/>
        <v>#REF!</v>
      </c>
      <c r="G4" s="2"/>
      <c r="H4" s="2"/>
      <c r="I4" s="2"/>
      <c r="J4" s="2"/>
      <c r="K4" s="2"/>
      <c r="L4" s="2"/>
      <c r="M4" s="2"/>
      <c r="N4" s="2"/>
      <c r="O4" s="2"/>
      <c r="P4" s="2"/>
      <c r="Q4" s="2"/>
      <c r="R4" s="2"/>
      <c r="S4" s="2"/>
      <c r="T4" s="2"/>
      <c r="U4" s="2"/>
      <c r="V4" s="2"/>
      <c r="W4" s="2"/>
      <c r="X4" s="2"/>
      <c r="Y4" s="2"/>
      <c r="Z4" s="2"/>
    </row>
    <row r="5" spans="1:26" ht="30">
      <c r="A5" s="3">
        <v>4</v>
      </c>
      <c r="B5" s="4" t="s">
        <v>10</v>
      </c>
      <c r="C5" s="52" t="e">
        <f>SUM(Смета_лит.Е!#REF!)</f>
        <v>#REF!</v>
      </c>
      <c r="D5" s="5" t="e">
        <f t="shared" si="0"/>
        <v>#REF!</v>
      </c>
      <c r="E5" s="5" t="e">
        <f>SUM(Смета_лит.Е!#REF!)</f>
        <v>#REF!</v>
      </c>
      <c r="F5" s="5" t="e">
        <f t="shared" si="1"/>
        <v>#REF!</v>
      </c>
      <c r="G5" s="2"/>
      <c r="H5" s="2"/>
      <c r="I5" s="2"/>
      <c r="J5" s="2"/>
      <c r="K5" s="2"/>
      <c r="L5" s="2"/>
      <c r="M5" s="2"/>
      <c r="N5" s="2"/>
      <c r="O5" s="2"/>
      <c r="P5" s="2"/>
      <c r="Q5" s="2"/>
      <c r="R5" s="2"/>
      <c r="S5" s="2"/>
      <c r="T5" s="2"/>
      <c r="U5" s="2"/>
      <c r="V5" s="2"/>
      <c r="W5" s="2"/>
      <c r="X5" s="2"/>
      <c r="Y5" s="2"/>
      <c r="Z5" s="2"/>
    </row>
    <row r="6" spans="1:26">
      <c r="A6" s="3">
        <v>5</v>
      </c>
      <c r="B6" s="4" t="s">
        <v>11</v>
      </c>
      <c r="C6" s="52" t="e">
        <f>SUM(Смета_лит.Е!#REF!)</f>
        <v>#REF!</v>
      </c>
      <c r="D6" s="5" t="e">
        <f t="shared" si="0"/>
        <v>#REF!</v>
      </c>
      <c r="E6" s="5" t="e">
        <f>SUM(Смета_лит.Е!#REF!)</f>
        <v>#REF!</v>
      </c>
      <c r="F6" s="5" t="e">
        <f t="shared" si="1"/>
        <v>#REF!</v>
      </c>
      <c r="G6" s="2"/>
      <c r="H6" s="2"/>
      <c r="I6" s="2"/>
      <c r="J6" s="2"/>
      <c r="K6" s="2"/>
      <c r="L6" s="2"/>
      <c r="M6" s="2"/>
      <c r="N6" s="2"/>
      <c r="O6" s="2"/>
      <c r="P6" s="2"/>
      <c r="Q6" s="2"/>
      <c r="R6" s="2"/>
      <c r="S6" s="2"/>
      <c r="T6" s="2"/>
      <c r="U6" s="2"/>
      <c r="V6" s="2"/>
      <c r="W6" s="2"/>
      <c r="X6" s="2"/>
      <c r="Y6" s="2"/>
      <c r="Z6" s="2"/>
    </row>
    <row r="7" spans="1:26">
      <c r="A7" s="3">
        <v>6</v>
      </c>
      <c r="B7" s="6" t="s">
        <v>12</v>
      </c>
      <c r="C7" s="52" t="e">
        <f>SUM(Смета_лит.Е!#REF!)</f>
        <v>#REF!</v>
      </c>
      <c r="D7" s="5" t="e">
        <f t="shared" si="0"/>
        <v>#REF!</v>
      </c>
      <c r="E7" s="5" t="e">
        <f>SUM(Смета_лит.Е!#REF!)</f>
        <v>#REF!</v>
      </c>
      <c r="F7" s="5" t="e">
        <f t="shared" si="1"/>
        <v>#REF!</v>
      </c>
      <c r="G7" s="2"/>
      <c r="H7" s="2"/>
      <c r="I7" s="2"/>
      <c r="J7" s="2"/>
      <c r="K7" s="2"/>
      <c r="L7" s="2"/>
      <c r="M7" s="2"/>
      <c r="N7" s="2"/>
      <c r="O7" s="2"/>
      <c r="P7" s="2"/>
      <c r="Q7" s="2"/>
      <c r="R7" s="2"/>
      <c r="S7" s="2"/>
      <c r="T7" s="2"/>
      <c r="U7" s="2"/>
      <c r="V7" s="2"/>
      <c r="W7" s="2"/>
      <c r="X7" s="2"/>
      <c r="Y7" s="2"/>
      <c r="Z7" s="2"/>
    </row>
    <row r="8" spans="1:26">
      <c r="A8" s="3">
        <v>7</v>
      </c>
      <c r="B8" s="6" t="s">
        <v>13</v>
      </c>
      <c r="C8" s="52" t="e">
        <f>SUM(Смета_лит.Е!#REF!)</f>
        <v>#REF!</v>
      </c>
      <c r="D8" s="5" t="e">
        <f t="shared" si="0"/>
        <v>#REF!</v>
      </c>
      <c r="E8" s="5" t="e">
        <f>SUM(Смета_лит.Е!#REF!)</f>
        <v>#REF!</v>
      </c>
      <c r="F8" s="5" t="e">
        <f t="shared" si="1"/>
        <v>#REF!</v>
      </c>
      <c r="G8" s="2"/>
      <c r="H8" s="2"/>
      <c r="I8" s="2"/>
      <c r="J8" s="2"/>
      <c r="K8" s="2"/>
      <c r="L8" s="2"/>
      <c r="M8" s="2"/>
      <c r="N8" s="2"/>
      <c r="O8" s="2"/>
      <c r="P8" s="2"/>
      <c r="Q8" s="2"/>
      <c r="R8" s="2"/>
      <c r="S8" s="2"/>
      <c r="T8" s="2"/>
      <c r="U8" s="2"/>
      <c r="V8" s="2"/>
      <c r="W8" s="2"/>
      <c r="X8" s="2"/>
      <c r="Y8" s="2"/>
      <c r="Z8" s="2"/>
    </row>
    <row r="9" spans="1:26">
      <c r="A9" s="3">
        <v>8</v>
      </c>
      <c r="B9" s="4" t="s">
        <v>14</v>
      </c>
      <c r="C9" s="52" t="e">
        <f>SUM(Смета_лит.Е!#REF!)</f>
        <v>#REF!</v>
      </c>
      <c r="D9" s="5" t="e">
        <f t="shared" si="0"/>
        <v>#REF!</v>
      </c>
      <c r="E9" s="5" t="e">
        <f>SUM(Смета_лит.Е!#REF!)</f>
        <v>#REF!</v>
      </c>
      <c r="F9" s="5" t="e">
        <f t="shared" si="1"/>
        <v>#REF!</v>
      </c>
      <c r="G9" s="2"/>
      <c r="H9" s="2"/>
      <c r="I9" s="2"/>
      <c r="J9" s="2"/>
      <c r="K9" s="2"/>
      <c r="L9" s="2"/>
      <c r="M9" s="2"/>
      <c r="N9" s="2"/>
      <c r="O9" s="2"/>
      <c r="P9" s="2"/>
      <c r="Q9" s="2"/>
      <c r="R9" s="2"/>
      <c r="S9" s="2"/>
      <c r="T9" s="2"/>
      <c r="U9" s="2"/>
      <c r="V9" s="2"/>
      <c r="W9" s="2"/>
      <c r="X9" s="2"/>
      <c r="Y9" s="2"/>
      <c r="Z9" s="2"/>
    </row>
    <row r="10" spans="1:26">
      <c r="A10" s="3">
        <v>9</v>
      </c>
      <c r="B10" s="6" t="s">
        <v>15</v>
      </c>
      <c r="C10" s="52"/>
      <c r="D10" s="5">
        <f t="shared" si="0"/>
        <v>0</v>
      </c>
      <c r="E10" s="5" t="e">
        <f>SUM(Смета_лит.Е!#REF!)</f>
        <v>#REF!</v>
      </c>
      <c r="F10" s="5" t="e">
        <f t="shared" si="1"/>
        <v>#REF!</v>
      </c>
      <c r="G10" s="2"/>
      <c r="H10" s="2"/>
      <c r="I10" s="2"/>
      <c r="J10" s="2"/>
      <c r="K10" s="2"/>
      <c r="L10" s="2"/>
      <c r="M10" s="2"/>
      <c r="N10" s="2"/>
      <c r="O10" s="2"/>
      <c r="P10" s="2"/>
      <c r="Q10" s="2"/>
      <c r="R10" s="2"/>
      <c r="S10" s="2"/>
      <c r="T10" s="2"/>
      <c r="U10" s="2"/>
      <c r="V10" s="2"/>
      <c r="W10" s="2"/>
      <c r="X10" s="2"/>
      <c r="Y10" s="2"/>
      <c r="Z10" s="2"/>
    </row>
    <row r="11" spans="1:26">
      <c r="A11" s="3">
        <v>10</v>
      </c>
      <c r="B11" s="6" t="s">
        <v>16</v>
      </c>
      <c r="C11" s="52" t="e">
        <f>SUM(Смета_лит.Е!#REF!)</f>
        <v>#REF!</v>
      </c>
      <c r="D11" s="5" t="e">
        <f t="shared" si="0"/>
        <v>#REF!</v>
      </c>
      <c r="E11" s="5" t="e">
        <f>SUM(Смета_лит.Е!#REF!)</f>
        <v>#REF!</v>
      </c>
      <c r="F11" s="5" t="e">
        <f t="shared" si="1"/>
        <v>#REF!</v>
      </c>
      <c r="G11" s="2"/>
      <c r="H11" s="2"/>
      <c r="I11" s="2"/>
      <c r="J11" s="2"/>
      <c r="K11" s="2"/>
      <c r="L11" s="2"/>
      <c r="M11" s="2"/>
      <c r="N11" s="2"/>
      <c r="O11" s="2"/>
      <c r="P11" s="2"/>
      <c r="Q11" s="2"/>
      <c r="R11" s="2"/>
      <c r="S11" s="2"/>
      <c r="T11" s="2"/>
      <c r="U11" s="2"/>
      <c r="V11" s="2"/>
      <c r="W11" s="2"/>
      <c r="X11" s="2"/>
      <c r="Y11" s="2"/>
      <c r="Z11" s="2"/>
    </row>
    <row r="12" spans="1:26">
      <c r="A12" s="3">
        <v>11</v>
      </c>
      <c r="B12" s="6" t="s">
        <v>17</v>
      </c>
      <c r="C12" s="52" t="e">
        <f>SUM(Смета_лит.Е!#REF!)</f>
        <v>#REF!</v>
      </c>
      <c r="D12" s="5" t="e">
        <f t="shared" si="0"/>
        <v>#REF!</v>
      </c>
      <c r="E12" s="5" t="e">
        <f>SUM(Смета_лит.Е!#REF!)</f>
        <v>#REF!</v>
      </c>
      <c r="F12" s="5" t="e">
        <f t="shared" si="1"/>
        <v>#REF!</v>
      </c>
      <c r="G12" s="2"/>
      <c r="H12" s="2"/>
      <c r="I12" s="2"/>
      <c r="J12" s="2"/>
      <c r="K12" s="2"/>
      <c r="L12" s="2"/>
      <c r="M12" s="2"/>
      <c r="N12" s="2"/>
      <c r="O12" s="2"/>
      <c r="P12" s="2"/>
      <c r="Q12" s="2"/>
      <c r="R12" s="2"/>
      <c r="S12" s="2"/>
      <c r="T12" s="2"/>
      <c r="U12" s="2"/>
      <c r="V12" s="2"/>
      <c r="W12" s="2"/>
      <c r="X12" s="2"/>
      <c r="Y12" s="2"/>
      <c r="Z12" s="2"/>
    </row>
    <row r="13" spans="1:26">
      <c r="A13" s="3">
        <v>12</v>
      </c>
      <c r="B13" s="6" t="s">
        <v>18</v>
      </c>
      <c r="C13" s="52" t="e">
        <f>SUM(Смета_лит.Е!#REF!)</f>
        <v>#REF!</v>
      </c>
      <c r="D13" s="5" t="e">
        <f t="shared" si="0"/>
        <v>#REF!</v>
      </c>
      <c r="E13" s="5">
        <f>SUM(Смета_лит.Е!F8:F11)</f>
        <v>109044</v>
      </c>
      <c r="F13" s="5">
        <f t="shared" si="1"/>
        <v>70878.600000000006</v>
      </c>
      <c r="G13" s="2"/>
      <c r="H13" s="2"/>
      <c r="I13" s="2"/>
      <c r="J13" s="2"/>
      <c r="K13" s="2"/>
      <c r="L13" s="2"/>
      <c r="M13" s="2"/>
      <c r="N13" s="2"/>
      <c r="O13" s="2"/>
      <c r="P13" s="2"/>
      <c r="Q13" s="2"/>
      <c r="R13" s="2"/>
      <c r="S13" s="2"/>
      <c r="T13" s="2"/>
      <c r="U13" s="2"/>
      <c r="V13" s="2"/>
      <c r="W13" s="2"/>
      <c r="X13" s="2"/>
      <c r="Y13" s="2"/>
      <c r="Z13" s="2"/>
    </row>
    <row r="14" spans="1:26">
      <c r="A14" s="3">
        <v>13</v>
      </c>
      <c r="B14" s="6" t="s">
        <v>19</v>
      </c>
      <c r="C14" s="52"/>
      <c r="D14" s="5">
        <f t="shared" si="0"/>
        <v>0</v>
      </c>
      <c r="E14" s="5"/>
      <c r="F14" s="5">
        <f t="shared" si="1"/>
        <v>0</v>
      </c>
      <c r="G14" s="2"/>
      <c r="H14" s="2"/>
      <c r="I14" s="2"/>
      <c r="J14" s="2"/>
      <c r="K14" s="2"/>
      <c r="L14" s="2"/>
      <c r="M14" s="2"/>
      <c r="N14" s="2"/>
      <c r="O14" s="2"/>
      <c r="P14" s="2"/>
      <c r="Q14" s="2"/>
      <c r="R14" s="2"/>
      <c r="S14" s="2"/>
      <c r="T14" s="2"/>
      <c r="U14" s="2"/>
      <c r="V14" s="2"/>
      <c r="W14" s="2"/>
      <c r="X14" s="2"/>
      <c r="Y14" s="2"/>
      <c r="Z14" s="2"/>
    </row>
    <row r="15" spans="1:26" ht="30">
      <c r="A15" s="3">
        <v>14</v>
      </c>
      <c r="B15" s="4" t="s">
        <v>20</v>
      </c>
      <c r="C15" s="52" t="e">
        <f>SUM(Смета_лит.Е!#REF!)</f>
        <v>#REF!</v>
      </c>
      <c r="D15" s="5" t="e">
        <f t="shared" si="0"/>
        <v>#REF!</v>
      </c>
      <c r="E15" s="5">
        <f>SUM(Смета_лит.Е!F13:F19)</f>
        <v>282800</v>
      </c>
      <c r="F15" s="5">
        <f t="shared" si="1"/>
        <v>183820</v>
      </c>
      <c r="G15" s="2"/>
      <c r="H15" s="2"/>
      <c r="I15" s="2"/>
      <c r="J15" s="2"/>
      <c r="K15" s="2"/>
      <c r="L15" s="2"/>
      <c r="M15" s="2"/>
      <c r="N15" s="2"/>
      <c r="O15" s="2"/>
      <c r="P15" s="2"/>
      <c r="Q15" s="2"/>
      <c r="R15" s="2"/>
      <c r="S15" s="2"/>
      <c r="T15" s="2"/>
      <c r="U15" s="2"/>
      <c r="V15" s="2"/>
      <c r="W15" s="2"/>
      <c r="X15" s="2"/>
      <c r="Y15" s="2"/>
      <c r="Z15" s="2"/>
    </row>
    <row r="16" spans="1:26">
      <c r="A16" s="3">
        <v>15</v>
      </c>
      <c r="B16" s="6" t="s">
        <v>23</v>
      </c>
      <c r="C16" s="52" t="e">
        <f>SUM(Смета_лит.Е!#REF!)</f>
        <v>#REF!</v>
      </c>
      <c r="D16" s="5" t="e">
        <f t="shared" si="0"/>
        <v>#REF!</v>
      </c>
      <c r="E16" s="5">
        <f>SUM(Смета_лит.Е!F21:F21)</f>
        <v>9600</v>
      </c>
      <c r="F16" s="5">
        <f t="shared" si="1"/>
        <v>6240</v>
      </c>
      <c r="G16" s="2"/>
      <c r="H16" s="2"/>
      <c r="I16" s="2"/>
      <c r="J16" s="2"/>
      <c r="K16" s="2"/>
      <c r="L16" s="2"/>
      <c r="M16" s="2"/>
      <c r="N16" s="2"/>
      <c r="O16" s="2"/>
      <c r="P16" s="2"/>
      <c r="Q16" s="2"/>
      <c r="R16" s="2"/>
      <c r="S16" s="2"/>
      <c r="T16" s="2"/>
      <c r="U16" s="2"/>
      <c r="V16" s="2"/>
      <c r="W16" s="2"/>
      <c r="X16" s="2"/>
      <c r="Y16" s="2"/>
      <c r="Z16" s="2"/>
    </row>
    <row r="17" spans="1:26">
      <c r="A17" s="3">
        <v>16</v>
      </c>
      <c r="B17" s="6" t="s">
        <v>24</v>
      </c>
      <c r="C17" s="52" t="e">
        <f>SUM(Смета_лит.Е!#REF!)</f>
        <v>#REF!</v>
      </c>
      <c r="D17" s="5" t="e">
        <f t="shared" si="0"/>
        <v>#REF!</v>
      </c>
      <c r="E17" s="5">
        <f>SUM(Смета_лит.Е!F23:F23)</f>
        <v>206155.2</v>
      </c>
      <c r="F17" s="5">
        <f t="shared" si="1"/>
        <v>134000.88</v>
      </c>
      <c r="G17" s="2"/>
      <c r="H17" s="2"/>
      <c r="I17" s="2"/>
      <c r="J17" s="2"/>
      <c r="K17" s="2"/>
      <c r="L17" s="2"/>
      <c r="M17" s="2"/>
      <c r="N17" s="2"/>
      <c r="O17" s="2"/>
      <c r="P17" s="2"/>
      <c r="Q17" s="2"/>
      <c r="R17" s="2"/>
      <c r="S17" s="2"/>
      <c r="T17" s="2"/>
      <c r="U17" s="2"/>
      <c r="V17" s="2"/>
      <c r="W17" s="2"/>
      <c r="X17" s="2"/>
      <c r="Y17" s="2"/>
      <c r="Z17" s="2"/>
    </row>
    <row r="18" spans="1:26" ht="30">
      <c r="A18" s="3"/>
      <c r="B18" s="4" t="s">
        <v>25</v>
      </c>
      <c r="C18" s="53" t="s">
        <v>280</v>
      </c>
      <c r="D18" s="5"/>
      <c r="E18" s="54"/>
      <c r="F18" s="5">
        <f t="shared" si="1"/>
        <v>0</v>
      </c>
      <c r="G18" s="2"/>
      <c r="H18" s="2"/>
      <c r="I18" s="2"/>
      <c r="J18" s="2"/>
      <c r="K18" s="2"/>
      <c r="L18" s="2"/>
      <c r="M18" s="2"/>
      <c r="N18" s="2"/>
      <c r="O18" s="2"/>
      <c r="P18" s="2"/>
      <c r="Q18" s="2"/>
      <c r="R18" s="2"/>
      <c r="S18" s="2"/>
      <c r="T18" s="2"/>
      <c r="U18" s="2"/>
      <c r="V18" s="2"/>
      <c r="W18" s="2"/>
      <c r="X18" s="2"/>
      <c r="Y18" s="2"/>
      <c r="Z18" s="2"/>
    </row>
    <row r="19" spans="1:26">
      <c r="A19" s="3">
        <v>17</v>
      </c>
      <c r="B19" s="6" t="s">
        <v>26</v>
      </c>
      <c r="C19" s="52" t="e">
        <f>SUM(Смета_лит.Е!#REF!)</f>
        <v>#REF!</v>
      </c>
      <c r="D19" s="5" t="e">
        <f>C19*90%</f>
        <v>#REF!</v>
      </c>
      <c r="E19" s="5">
        <f>SUM(Смета_лит.Е!F25:F26)</f>
        <v>121300</v>
      </c>
      <c r="F19" s="5">
        <f t="shared" si="1"/>
        <v>78845</v>
      </c>
      <c r="G19" s="2"/>
      <c r="H19" s="2"/>
      <c r="I19" s="2"/>
      <c r="J19" s="2"/>
      <c r="K19" s="2"/>
      <c r="L19" s="2"/>
      <c r="M19" s="2"/>
      <c r="N19" s="2"/>
      <c r="O19" s="2"/>
      <c r="P19" s="2"/>
      <c r="Q19" s="2"/>
      <c r="R19" s="2"/>
      <c r="S19" s="2"/>
      <c r="T19" s="2"/>
      <c r="U19" s="2"/>
      <c r="V19" s="2"/>
      <c r="W19" s="2"/>
      <c r="X19" s="2"/>
      <c r="Y19" s="2"/>
      <c r="Z19" s="2"/>
    </row>
    <row r="20" spans="1:26">
      <c r="A20" s="3">
        <v>18</v>
      </c>
      <c r="B20" s="6" t="s">
        <v>27</v>
      </c>
      <c r="C20" s="52" t="e">
        <f>SUM(Смета_лит.Е!#REF!)</f>
        <v>#REF!</v>
      </c>
      <c r="D20" s="5" t="e">
        <f>C20*90%</f>
        <v>#REF!</v>
      </c>
      <c r="E20" s="5">
        <f>SUM(Смета_лит.Е!F28:F28)</f>
        <v>138600</v>
      </c>
      <c r="F20" s="5">
        <f t="shared" si="1"/>
        <v>90090</v>
      </c>
      <c r="G20" s="2"/>
      <c r="H20" s="2"/>
      <c r="I20" s="2"/>
      <c r="J20" s="2"/>
      <c r="K20" s="2"/>
      <c r="L20" s="2"/>
      <c r="M20" s="2"/>
      <c r="N20" s="2"/>
      <c r="O20" s="2"/>
      <c r="P20" s="2"/>
      <c r="Q20" s="2"/>
      <c r="R20" s="2"/>
      <c r="S20" s="2"/>
      <c r="T20" s="2"/>
      <c r="U20" s="2"/>
      <c r="V20" s="2"/>
      <c r="W20" s="2"/>
      <c r="X20" s="2"/>
      <c r="Y20" s="2"/>
      <c r="Z20" s="2"/>
    </row>
    <row r="21" spans="1:26">
      <c r="A21" s="3">
        <v>19</v>
      </c>
      <c r="B21" s="6" t="s">
        <v>28</v>
      </c>
      <c r="C21" s="52" t="e">
        <f>SUM(Смета_лит.Е!#REF!)</f>
        <v>#REF!</v>
      </c>
      <c r="D21" s="5" t="e">
        <f>C21*90%</f>
        <v>#REF!</v>
      </c>
      <c r="E21" s="5">
        <f>SUM(Смета_лит.Е!F30:F31)</f>
        <v>98560</v>
      </c>
      <c r="F21" s="5">
        <f t="shared" si="1"/>
        <v>64064</v>
      </c>
      <c r="G21" s="2"/>
      <c r="H21" s="2"/>
      <c r="I21" s="2"/>
      <c r="J21" s="2"/>
      <c r="K21" s="2"/>
      <c r="L21" s="2"/>
      <c r="M21" s="2"/>
      <c r="N21" s="2"/>
      <c r="O21" s="2"/>
      <c r="P21" s="2"/>
      <c r="Q21" s="2"/>
      <c r="R21" s="2"/>
      <c r="S21" s="2"/>
      <c r="T21" s="2"/>
      <c r="U21" s="2"/>
      <c r="V21" s="2"/>
      <c r="W21" s="2"/>
      <c r="X21" s="2"/>
      <c r="Y21" s="2"/>
      <c r="Z21" s="2"/>
    </row>
    <row r="22" spans="1:26" ht="15.75" customHeight="1">
      <c r="A22" s="3">
        <v>20</v>
      </c>
      <c r="B22" s="6" t="s">
        <v>29</v>
      </c>
      <c r="C22" s="52" t="s">
        <v>281</v>
      </c>
      <c r="D22" s="5"/>
      <c r="E22" s="5">
        <f>SUM(Смета_лит.Е!F33)</f>
        <v>40000</v>
      </c>
      <c r="F22" s="5">
        <f t="shared" si="1"/>
        <v>26000</v>
      </c>
      <c r="G22" s="2"/>
      <c r="H22" s="2"/>
      <c r="I22" s="2"/>
      <c r="J22" s="2"/>
      <c r="K22" s="2"/>
      <c r="L22" s="2"/>
      <c r="M22" s="2"/>
      <c r="N22" s="2"/>
      <c r="O22" s="2"/>
      <c r="P22" s="2"/>
      <c r="Q22" s="2"/>
      <c r="R22" s="2"/>
      <c r="S22" s="2"/>
      <c r="T22" s="2"/>
      <c r="U22" s="2"/>
      <c r="V22" s="2"/>
      <c r="W22" s="2"/>
      <c r="X22" s="2"/>
      <c r="Y22" s="2"/>
      <c r="Z22" s="2"/>
    </row>
    <row r="23" spans="1:26" ht="15.75" customHeight="1">
      <c r="A23" s="3">
        <v>21</v>
      </c>
      <c r="B23" s="6" t="s">
        <v>30</v>
      </c>
      <c r="C23" s="52"/>
      <c r="D23" s="5">
        <f t="shared" ref="D23:D35" si="2">C23*90%</f>
        <v>0</v>
      </c>
      <c r="E23" s="5">
        <f>SUM(Смета_лит.Е!F35)</f>
        <v>20000</v>
      </c>
      <c r="F23" s="5">
        <f t="shared" si="1"/>
        <v>13000</v>
      </c>
      <c r="G23" s="2"/>
      <c r="H23" s="2"/>
      <c r="I23" s="2"/>
      <c r="J23" s="2"/>
      <c r="K23" s="2"/>
      <c r="L23" s="2"/>
      <c r="M23" s="2"/>
      <c r="N23" s="2"/>
      <c r="O23" s="2"/>
      <c r="P23" s="2"/>
      <c r="Q23" s="2"/>
      <c r="R23" s="2"/>
      <c r="S23" s="2"/>
      <c r="T23" s="2"/>
      <c r="U23" s="2"/>
      <c r="V23" s="2"/>
      <c r="W23" s="2"/>
      <c r="X23" s="2"/>
      <c r="Y23" s="2"/>
      <c r="Z23" s="2"/>
    </row>
    <row r="24" spans="1:26" ht="15.75" customHeight="1">
      <c r="A24" s="3">
        <v>22</v>
      </c>
      <c r="B24" s="6" t="s">
        <v>31</v>
      </c>
      <c r="C24" s="52" t="e">
        <f>SUM(Смета_лит.Е!#REF!)</f>
        <v>#REF!</v>
      </c>
      <c r="D24" s="5" t="e">
        <f t="shared" si="2"/>
        <v>#REF!</v>
      </c>
      <c r="E24" s="5">
        <f>SUM(Смета_лит.Е!F37:F39)</f>
        <v>399000</v>
      </c>
      <c r="F24" s="5">
        <f t="shared" si="1"/>
        <v>259350</v>
      </c>
      <c r="G24" s="2"/>
      <c r="H24" s="2"/>
      <c r="I24" s="2"/>
      <c r="J24" s="2"/>
      <c r="K24" s="2"/>
      <c r="L24" s="2"/>
      <c r="M24" s="2"/>
      <c r="N24" s="2"/>
      <c r="O24" s="2"/>
      <c r="P24" s="2"/>
      <c r="Q24" s="2"/>
      <c r="R24" s="2"/>
      <c r="S24" s="2"/>
      <c r="T24" s="2"/>
      <c r="U24" s="2"/>
      <c r="V24" s="2"/>
      <c r="W24" s="2"/>
      <c r="X24" s="2"/>
      <c r="Y24" s="2"/>
      <c r="Z24" s="2"/>
    </row>
    <row r="25" spans="1:26" ht="15.75" customHeight="1">
      <c r="A25" s="3">
        <v>23</v>
      </c>
      <c r="B25" s="6" t="s">
        <v>32</v>
      </c>
      <c r="C25" s="52" t="e">
        <f>SUM(Смета_лит.Е!#REF!)</f>
        <v>#REF!</v>
      </c>
      <c r="D25" s="5" t="e">
        <f t="shared" si="2"/>
        <v>#REF!</v>
      </c>
      <c r="E25" s="5">
        <f>SUM(Смета_лит.Е!F41:F42)</f>
        <v>160000</v>
      </c>
      <c r="F25" s="5">
        <f t="shared" si="1"/>
        <v>104000</v>
      </c>
      <c r="G25" s="2"/>
      <c r="H25" s="2"/>
      <c r="I25" s="2"/>
      <c r="J25" s="2"/>
      <c r="K25" s="2"/>
      <c r="L25" s="2"/>
      <c r="M25" s="2"/>
      <c r="N25" s="2"/>
      <c r="O25" s="2"/>
      <c r="P25" s="2"/>
      <c r="Q25" s="2"/>
      <c r="R25" s="2"/>
      <c r="S25" s="2"/>
      <c r="T25" s="2"/>
      <c r="U25" s="2"/>
      <c r="V25" s="2"/>
      <c r="W25" s="2"/>
      <c r="X25" s="2"/>
      <c r="Y25" s="2"/>
      <c r="Z25" s="2"/>
    </row>
    <row r="26" spans="1:26" ht="15.75" customHeight="1">
      <c r="A26" s="3">
        <v>24</v>
      </c>
      <c r="B26" s="6" t="s">
        <v>33</v>
      </c>
      <c r="C26" s="52" t="e">
        <f>SUM(Смета_лит.Е!#REF!)</f>
        <v>#REF!</v>
      </c>
      <c r="D26" s="5" t="e">
        <f t="shared" si="2"/>
        <v>#REF!</v>
      </c>
      <c r="E26" s="5">
        <f>SUM(Смета_лит.Е!F44:F44)</f>
        <v>204375</v>
      </c>
      <c r="F26" s="5">
        <f t="shared" si="1"/>
        <v>132843.75</v>
      </c>
      <c r="G26" s="2"/>
      <c r="H26" s="2"/>
      <c r="I26" s="2"/>
      <c r="J26" s="2"/>
      <c r="K26" s="2"/>
      <c r="L26" s="2"/>
      <c r="M26" s="2"/>
      <c r="N26" s="2"/>
      <c r="O26" s="2"/>
      <c r="P26" s="2"/>
      <c r="Q26" s="2"/>
      <c r="R26" s="2"/>
      <c r="S26" s="2"/>
      <c r="T26" s="2"/>
      <c r="U26" s="2"/>
      <c r="V26" s="2"/>
      <c r="W26" s="2"/>
      <c r="X26" s="2"/>
      <c r="Y26" s="2"/>
      <c r="Z26" s="2"/>
    </row>
    <row r="27" spans="1:26" ht="15.75" customHeight="1">
      <c r="A27" s="3">
        <v>25</v>
      </c>
      <c r="B27" s="6" t="s">
        <v>34</v>
      </c>
      <c r="C27" s="52" t="e">
        <f>SUM(Смета_лит.Е!#REF!)</f>
        <v>#REF!</v>
      </c>
      <c r="D27" s="5" t="e">
        <f t="shared" si="2"/>
        <v>#REF!</v>
      </c>
      <c r="E27" s="5">
        <f>SUM(Смета_лит.Е!F46:F47)</f>
        <v>128800</v>
      </c>
      <c r="F27" s="5">
        <f t="shared" si="1"/>
        <v>83720</v>
      </c>
      <c r="G27" s="2"/>
      <c r="H27" s="2"/>
      <c r="I27" s="2"/>
      <c r="J27" s="2"/>
      <c r="K27" s="2"/>
      <c r="L27" s="2"/>
      <c r="M27" s="2"/>
      <c r="N27" s="2"/>
      <c r="O27" s="2"/>
      <c r="P27" s="2"/>
      <c r="Q27" s="2"/>
      <c r="R27" s="2"/>
      <c r="S27" s="2"/>
      <c r="T27" s="2"/>
      <c r="U27" s="2"/>
      <c r="V27" s="2"/>
      <c r="W27" s="2"/>
      <c r="X27" s="2"/>
      <c r="Y27" s="2"/>
      <c r="Z27" s="2"/>
    </row>
    <row r="28" spans="1:26" ht="15.75" customHeight="1">
      <c r="A28" s="3">
        <v>26</v>
      </c>
      <c r="B28" s="6" t="s">
        <v>35</v>
      </c>
      <c r="C28" s="5" t="e">
        <f>SUM(Смета_лит.Е!#REF!)</f>
        <v>#REF!</v>
      </c>
      <c r="D28" s="5" t="e">
        <f t="shared" si="2"/>
        <v>#REF!</v>
      </c>
      <c r="E28" s="5">
        <f>SUM(Смета_лит.Е!F49:F49)</f>
        <v>16066</v>
      </c>
      <c r="F28" s="5">
        <f t="shared" si="1"/>
        <v>10442.9</v>
      </c>
      <c r="G28" s="2"/>
      <c r="H28" s="2"/>
      <c r="I28" s="2"/>
      <c r="J28" s="2"/>
      <c r="K28" s="2"/>
      <c r="L28" s="2"/>
      <c r="M28" s="2"/>
      <c r="N28" s="2"/>
      <c r="O28" s="2"/>
      <c r="P28" s="2"/>
      <c r="Q28" s="2"/>
      <c r="R28" s="2"/>
      <c r="S28" s="2"/>
      <c r="T28" s="2"/>
      <c r="U28" s="2"/>
      <c r="V28" s="2"/>
      <c r="W28" s="2"/>
      <c r="X28" s="2"/>
      <c r="Y28" s="2"/>
      <c r="Z28" s="2"/>
    </row>
    <row r="29" spans="1:26" ht="15.75" customHeight="1">
      <c r="A29" s="3">
        <v>27</v>
      </c>
      <c r="B29" s="6" t="s">
        <v>36</v>
      </c>
      <c r="C29" s="5" t="e">
        <f>SUM(Смета_лит.Е!#REF!)</f>
        <v>#REF!</v>
      </c>
      <c r="D29" s="5" t="e">
        <f t="shared" si="2"/>
        <v>#REF!</v>
      </c>
      <c r="E29" s="5">
        <f>SUM(Смета_лит.Е!F51:F52)</f>
        <v>80300</v>
      </c>
      <c r="F29" s="5">
        <f t="shared" si="1"/>
        <v>52195</v>
      </c>
      <c r="G29" s="2"/>
      <c r="H29" s="2"/>
      <c r="I29" s="2"/>
      <c r="J29" s="2"/>
      <c r="K29" s="2"/>
      <c r="L29" s="2"/>
      <c r="M29" s="2"/>
      <c r="N29" s="2"/>
      <c r="O29" s="2"/>
      <c r="P29" s="2"/>
      <c r="Q29" s="2"/>
      <c r="R29" s="2"/>
      <c r="S29" s="2"/>
      <c r="T29" s="2"/>
      <c r="U29" s="2"/>
      <c r="V29" s="2"/>
      <c r="W29" s="2"/>
      <c r="X29" s="2"/>
      <c r="Y29" s="2"/>
      <c r="Z29" s="2"/>
    </row>
    <row r="30" spans="1:26" ht="15.75" customHeight="1">
      <c r="A30" s="3">
        <v>28</v>
      </c>
      <c r="B30" s="6" t="s">
        <v>37</v>
      </c>
      <c r="C30" s="5" t="e">
        <f>SUM(Смета_лит.Е!#REF!)</f>
        <v>#REF!</v>
      </c>
      <c r="D30" s="5" t="e">
        <f t="shared" si="2"/>
        <v>#REF!</v>
      </c>
      <c r="E30" s="5">
        <f>SUM(Смета_лит.Е!F54:F56)</f>
        <v>273000</v>
      </c>
      <c r="F30" s="5">
        <f t="shared" si="1"/>
        <v>177450</v>
      </c>
      <c r="G30" s="2"/>
      <c r="H30" s="2"/>
      <c r="I30" s="2"/>
      <c r="J30" s="2"/>
      <c r="K30" s="2"/>
      <c r="L30" s="2"/>
      <c r="M30" s="2"/>
      <c r="N30" s="2"/>
      <c r="O30" s="2"/>
      <c r="P30" s="2"/>
      <c r="Q30" s="2"/>
      <c r="R30" s="2"/>
      <c r="S30" s="2"/>
      <c r="T30" s="2"/>
      <c r="U30" s="2"/>
      <c r="V30" s="2"/>
      <c r="W30" s="2"/>
      <c r="X30" s="2"/>
      <c r="Y30" s="2"/>
      <c r="Z30" s="2"/>
    </row>
    <row r="31" spans="1:26" ht="15.75" customHeight="1">
      <c r="A31" s="3">
        <v>29</v>
      </c>
      <c r="B31" s="6" t="s">
        <v>38</v>
      </c>
      <c r="C31" s="5" t="e">
        <f>SUM(Смета_лит.Е!#REF!)</f>
        <v>#REF!</v>
      </c>
      <c r="D31" s="5" t="e">
        <f t="shared" si="2"/>
        <v>#REF!</v>
      </c>
      <c r="E31" s="5">
        <f>SUM(Смета_лит.Е!F58:F58)</f>
        <v>61200</v>
      </c>
      <c r="F31" s="5">
        <f t="shared" si="1"/>
        <v>39780</v>
      </c>
      <c r="G31" s="2"/>
      <c r="H31" s="2"/>
      <c r="I31" s="2"/>
      <c r="J31" s="2"/>
      <c r="K31" s="2"/>
      <c r="L31" s="2"/>
      <c r="M31" s="2"/>
      <c r="N31" s="2"/>
      <c r="O31" s="2"/>
      <c r="P31" s="2"/>
      <c r="Q31" s="2"/>
      <c r="R31" s="2"/>
      <c r="S31" s="2"/>
      <c r="T31" s="2"/>
      <c r="U31" s="2"/>
      <c r="V31" s="2"/>
      <c r="W31" s="2"/>
      <c r="X31" s="2"/>
      <c r="Y31" s="2"/>
      <c r="Z31" s="2"/>
    </row>
    <row r="32" spans="1:26" ht="15.75" customHeight="1">
      <c r="A32" s="3">
        <v>30</v>
      </c>
      <c r="B32" s="6" t="s">
        <v>39</v>
      </c>
      <c r="C32" s="5" t="e">
        <f>SUM(Смета_лит.Е!#REF!)</f>
        <v>#REF!</v>
      </c>
      <c r="D32" s="5" t="e">
        <f t="shared" si="2"/>
        <v>#REF!</v>
      </c>
      <c r="E32" s="5">
        <f>SUM(Смета_лит.Е!F60:F60)</f>
        <v>92800</v>
      </c>
      <c r="F32" s="5">
        <f t="shared" si="1"/>
        <v>60320</v>
      </c>
      <c r="G32" s="2"/>
      <c r="H32" s="2"/>
      <c r="I32" s="2"/>
      <c r="J32" s="2"/>
      <c r="K32" s="2"/>
      <c r="L32" s="2"/>
      <c r="M32" s="2"/>
      <c r="N32" s="2"/>
      <c r="O32" s="2"/>
      <c r="P32" s="2"/>
      <c r="Q32" s="2"/>
      <c r="R32" s="2"/>
      <c r="S32" s="2"/>
      <c r="T32" s="2"/>
      <c r="U32" s="2"/>
      <c r="V32" s="2"/>
      <c r="W32" s="2"/>
      <c r="X32" s="2"/>
      <c r="Y32" s="2"/>
      <c r="Z32" s="2"/>
    </row>
    <row r="33" spans="1:26" ht="15.75" customHeight="1">
      <c r="A33" s="3">
        <v>31</v>
      </c>
      <c r="B33" s="6" t="s">
        <v>40</v>
      </c>
      <c r="C33" s="5" t="e">
        <f>SUM(Смета_лит.Е!#REF!)</f>
        <v>#REF!</v>
      </c>
      <c r="D33" s="5" t="e">
        <f t="shared" si="2"/>
        <v>#REF!</v>
      </c>
      <c r="E33" s="5">
        <f>SUM(Смета_лит.Е!F62:F62)</f>
        <v>54720</v>
      </c>
      <c r="F33" s="5">
        <f t="shared" si="1"/>
        <v>35568</v>
      </c>
      <c r="G33" s="2"/>
      <c r="H33" s="2"/>
      <c r="I33" s="2"/>
      <c r="J33" s="2"/>
      <c r="K33" s="2"/>
      <c r="L33" s="2"/>
      <c r="M33" s="2"/>
      <c r="N33" s="2"/>
      <c r="O33" s="2"/>
      <c r="P33" s="2"/>
      <c r="Q33" s="2"/>
      <c r="R33" s="2"/>
      <c r="S33" s="2"/>
      <c r="T33" s="2"/>
      <c r="U33" s="2"/>
      <c r="V33" s="2"/>
      <c r="W33" s="2"/>
      <c r="X33" s="2"/>
      <c r="Y33" s="2"/>
      <c r="Z33" s="2"/>
    </row>
    <row r="34" spans="1:26" ht="15.75" customHeight="1">
      <c r="A34" s="3">
        <v>32</v>
      </c>
      <c r="B34" s="6" t="s">
        <v>41</v>
      </c>
      <c r="C34" s="5" t="e">
        <f>SUM(Смета_лит.Е!#REF!)</f>
        <v>#REF!</v>
      </c>
      <c r="D34" s="5" t="e">
        <f t="shared" si="2"/>
        <v>#REF!</v>
      </c>
      <c r="E34" s="5">
        <f>SUM(Смета_лит.Е!F64:F65)</f>
        <v>61120</v>
      </c>
      <c r="F34" s="5">
        <f t="shared" si="1"/>
        <v>39728</v>
      </c>
      <c r="G34" s="2"/>
      <c r="H34" s="2"/>
      <c r="I34" s="2"/>
      <c r="J34" s="2"/>
      <c r="K34" s="2"/>
      <c r="L34" s="2"/>
      <c r="M34" s="2"/>
      <c r="N34" s="2"/>
      <c r="O34" s="2"/>
      <c r="P34" s="2"/>
      <c r="Q34" s="2"/>
      <c r="R34" s="2"/>
      <c r="S34" s="2"/>
      <c r="T34" s="2"/>
      <c r="U34" s="2"/>
      <c r="V34" s="2"/>
      <c r="W34" s="2"/>
      <c r="X34" s="2"/>
      <c r="Y34" s="2"/>
      <c r="Z34" s="2"/>
    </row>
    <row r="35" spans="1:26" ht="15.75" customHeight="1">
      <c r="A35" s="3">
        <v>33</v>
      </c>
      <c r="B35" s="6" t="s">
        <v>42</v>
      </c>
      <c r="C35" s="5" t="e">
        <f>SUM(Смета_лит.Е!#REF!)</f>
        <v>#REF!</v>
      </c>
      <c r="D35" s="5" t="e">
        <f t="shared" si="2"/>
        <v>#REF!</v>
      </c>
      <c r="E35" s="5">
        <f>SUM(Смета_лит.Е!F67:F73)</f>
        <v>109320</v>
      </c>
      <c r="F35" s="5">
        <f t="shared" si="1"/>
        <v>71058</v>
      </c>
      <c r="G35" s="2"/>
      <c r="H35" s="2"/>
      <c r="I35" s="2"/>
      <c r="J35" s="2"/>
      <c r="K35" s="2"/>
      <c r="L35" s="2"/>
      <c r="M35" s="2"/>
      <c r="N35" s="2"/>
      <c r="O35" s="2"/>
      <c r="P35" s="2"/>
      <c r="Q35" s="2"/>
      <c r="R35" s="2"/>
      <c r="S35" s="2"/>
      <c r="T35" s="2"/>
      <c r="U35" s="2"/>
      <c r="V35" s="2"/>
      <c r="W35" s="2"/>
      <c r="X35" s="2"/>
      <c r="Y35" s="2"/>
      <c r="Z35" s="2"/>
    </row>
    <row r="36" spans="1:26" ht="15.75" customHeight="1">
      <c r="A36" s="6"/>
      <c r="B36" s="6"/>
      <c r="C36" s="5"/>
      <c r="D36" s="5"/>
      <c r="E36" s="5"/>
      <c r="F36" s="5"/>
      <c r="G36" s="2"/>
      <c r="H36" s="2"/>
      <c r="I36" s="2"/>
      <c r="J36" s="2"/>
      <c r="K36" s="2"/>
      <c r="L36" s="2"/>
      <c r="M36" s="2"/>
      <c r="N36" s="2"/>
      <c r="O36" s="2"/>
      <c r="P36" s="2"/>
      <c r="Q36" s="2"/>
      <c r="R36" s="2"/>
      <c r="S36" s="2"/>
      <c r="T36" s="2"/>
      <c r="U36" s="2"/>
      <c r="V36" s="2"/>
      <c r="W36" s="2"/>
      <c r="X36" s="2"/>
      <c r="Y36" s="2"/>
      <c r="Z36" s="2"/>
    </row>
    <row r="37" spans="1:26" ht="15.75" customHeight="1">
      <c r="A37" s="6"/>
      <c r="B37" s="6"/>
      <c r="C37" s="5"/>
      <c r="D37" s="5"/>
      <c r="E37" s="5"/>
      <c r="F37" s="5"/>
      <c r="G37" s="2"/>
      <c r="H37" s="2"/>
      <c r="I37" s="2"/>
      <c r="J37" s="2"/>
      <c r="K37" s="2"/>
      <c r="L37" s="2"/>
      <c r="M37" s="2"/>
      <c r="N37" s="2"/>
      <c r="O37" s="2"/>
      <c r="P37" s="2"/>
      <c r="Q37" s="2"/>
      <c r="R37" s="2"/>
      <c r="S37" s="2"/>
      <c r="T37" s="2"/>
      <c r="U37" s="2"/>
      <c r="V37" s="2"/>
      <c r="W37" s="2"/>
      <c r="X37" s="2"/>
      <c r="Y37" s="2"/>
      <c r="Z37" s="2"/>
    </row>
    <row r="38" spans="1:26" ht="15.75" customHeight="1">
      <c r="A38" s="6"/>
      <c r="B38" s="6" t="s">
        <v>43</v>
      </c>
      <c r="C38" s="5" t="e">
        <f>SUM(C2:C37)</f>
        <v>#REF!</v>
      </c>
      <c r="D38" s="5" t="e">
        <f>SUM(D2:D35)</f>
        <v>#REF!</v>
      </c>
      <c r="E38" s="5" t="e">
        <f>SUM(E2:E37)</f>
        <v>#REF!</v>
      </c>
      <c r="F38" s="5" t="e">
        <f>SUM(F2:F37)</f>
        <v>#REF!</v>
      </c>
      <c r="G38" s="2"/>
      <c r="H38" s="2"/>
      <c r="I38" s="2"/>
      <c r="J38" s="2"/>
      <c r="K38" s="2"/>
      <c r="L38" s="2"/>
      <c r="M38" s="2"/>
      <c r="N38" s="2"/>
      <c r="O38" s="2"/>
      <c r="P38" s="2"/>
      <c r="Q38" s="2"/>
      <c r="R38" s="2"/>
      <c r="S38" s="2"/>
      <c r="T38" s="2"/>
      <c r="U38" s="2"/>
      <c r="V38" s="2"/>
      <c r="W38" s="2"/>
      <c r="X38" s="2"/>
      <c r="Y38" s="2"/>
      <c r="Z38" s="2"/>
    </row>
    <row r="39" spans="1:26" ht="15.75" customHeight="1">
      <c r="A39" s="8"/>
      <c r="B39" s="8" t="s">
        <v>43</v>
      </c>
      <c r="C39" s="55" t="s">
        <v>282</v>
      </c>
      <c r="D39" s="56" t="e">
        <f>C38+E38</f>
        <v>#REF!</v>
      </c>
      <c r="E39" s="56" t="s">
        <v>283</v>
      </c>
      <c r="F39" s="57" t="e">
        <f>D38+F38</f>
        <v>#REF!</v>
      </c>
      <c r="G39" s="2" t="s">
        <v>284</v>
      </c>
      <c r="H39" s="58" t="e">
        <f>D39-F39</f>
        <v>#REF!</v>
      </c>
      <c r="I39" s="2"/>
      <c r="J39" s="2"/>
      <c r="K39" s="2"/>
      <c r="L39" s="2"/>
      <c r="M39" s="2"/>
      <c r="N39" s="2"/>
      <c r="O39" s="2"/>
      <c r="P39" s="2"/>
      <c r="Q39" s="2"/>
      <c r="R39" s="2"/>
      <c r="S39" s="2"/>
      <c r="T39" s="2"/>
      <c r="U39" s="2"/>
      <c r="V39" s="2"/>
      <c r="W39" s="2"/>
      <c r="X39" s="2"/>
      <c r="Y39" s="2"/>
      <c r="Z39" s="2"/>
    </row>
    <row r="40" spans="1:26" ht="15.75" customHeight="1">
      <c r="A40" s="2"/>
      <c r="B40" s="2"/>
      <c r="C40" s="2"/>
      <c r="D40" s="2"/>
      <c r="E40" s="9"/>
      <c r="F40" s="9"/>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9"/>
      <c r="F41" s="9"/>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9"/>
      <c r="F42" s="9"/>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9"/>
      <c r="F43" s="9"/>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9"/>
      <c r="F44" s="9"/>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9"/>
      <c r="F45" s="9"/>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9"/>
      <c r="F46" s="9"/>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9"/>
      <c r="F47" s="9"/>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9"/>
      <c r="F48" s="9"/>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9"/>
      <c r="F49" s="9"/>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9"/>
      <c r="F50" s="9"/>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9"/>
      <c r="F51" s="9"/>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9"/>
      <c r="F52" s="9"/>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9"/>
      <c r="F53" s="9"/>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9"/>
      <c r="F54" s="9"/>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9"/>
      <c r="F55" s="9"/>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9"/>
      <c r="F56" s="9"/>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9"/>
      <c r="F57" s="9"/>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9"/>
      <c r="F58" s="9"/>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9"/>
      <c r="F59" s="9"/>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9"/>
      <c r="F60" s="9"/>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9"/>
      <c r="F61" s="9"/>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9"/>
      <c r="F62" s="9"/>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9"/>
      <c r="F63" s="9"/>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9"/>
      <c r="F64" s="9"/>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9"/>
      <c r="F65" s="9"/>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9"/>
      <c r="F66" s="9"/>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9"/>
      <c r="F67" s="9"/>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9"/>
      <c r="F68" s="9"/>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9"/>
      <c r="F69" s="9"/>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9"/>
      <c r="F70" s="9"/>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9"/>
      <c r="F71" s="9"/>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9"/>
      <c r="F72" s="9"/>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9"/>
      <c r="F73" s="9"/>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9"/>
      <c r="F74" s="9"/>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9"/>
      <c r="F75" s="9"/>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9"/>
      <c r="F76" s="9"/>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9"/>
      <c r="F77" s="9"/>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9"/>
      <c r="F78" s="9"/>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9"/>
      <c r="F79" s="9"/>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9"/>
      <c r="F80" s="9"/>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9"/>
      <c r="F81" s="9"/>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9"/>
      <c r="F82" s="9"/>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9"/>
      <c r="F83" s="9"/>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9"/>
      <c r="F84" s="9"/>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9"/>
      <c r="F85" s="9"/>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9"/>
      <c r="F86" s="9"/>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9"/>
      <c r="F87" s="9"/>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9"/>
      <c r="F88" s="9"/>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9"/>
      <c r="F89" s="9"/>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9"/>
      <c r="F90" s="9"/>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9"/>
      <c r="F91" s="9"/>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9"/>
      <c r="F92" s="9"/>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9"/>
      <c r="F93" s="9"/>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9"/>
      <c r="F94" s="9"/>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9"/>
      <c r="F95" s="9"/>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9"/>
      <c r="F96" s="9"/>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9"/>
      <c r="F97" s="9"/>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9"/>
      <c r="F98" s="9"/>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9"/>
      <c r="F99" s="9"/>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9"/>
      <c r="F100" s="9"/>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9"/>
      <c r="F101" s="9"/>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9"/>
      <c r="F102" s="9"/>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9"/>
      <c r="F103" s="9"/>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9"/>
      <c r="F104" s="9"/>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9"/>
      <c r="F105" s="9"/>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9"/>
      <c r="F106" s="9"/>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9"/>
      <c r="F107" s="9"/>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9"/>
      <c r="F108" s="9"/>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9"/>
      <c r="F109" s="9"/>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9"/>
      <c r="F110" s="9"/>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9"/>
      <c r="F111" s="9"/>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9"/>
      <c r="F112" s="9"/>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9"/>
      <c r="F113" s="9"/>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9"/>
      <c r="F114" s="9"/>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9"/>
      <c r="F115" s="9"/>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9"/>
      <c r="F116" s="9"/>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9"/>
      <c r="F117" s="9"/>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9"/>
      <c r="F118" s="9"/>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9"/>
      <c r="F119" s="9"/>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9"/>
      <c r="F120" s="9"/>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9"/>
      <c r="F121" s="9"/>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9"/>
      <c r="F122" s="9"/>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9"/>
      <c r="F123" s="9"/>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9"/>
      <c r="F124" s="9"/>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9"/>
      <c r="F125" s="9"/>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9"/>
      <c r="F126" s="9"/>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9"/>
      <c r="F127" s="9"/>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9"/>
      <c r="F128" s="9"/>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9"/>
      <c r="F129" s="9"/>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9"/>
      <c r="F130" s="9"/>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9"/>
      <c r="F131" s="9"/>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9"/>
      <c r="F132" s="9"/>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9"/>
      <c r="F133" s="9"/>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9"/>
      <c r="F134" s="9"/>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9"/>
      <c r="F135" s="9"/>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9"/>
      <c r="F136" s="9"/>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9"/>
      <c r="F137" s="9"/>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9"/>
      <c r="F138" s="9"/>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9"/>
      <c r="F139" s="9"/>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9"/>
      <c r="F140" s="9"/>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9"/>
      <c r="F141" s="9"/>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9"/>
      <c r="F142" s="9"/>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9"/>
      <c r="F143" s="9"/>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9"/>
      <c r="F144" s="9"/>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9"/>
      <c r="F145" s="9"/>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9"/>
      <c r="F146" s="9"/>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9"/>
      <c r="F147" s="9"/>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9"/>
      <c r="F148" s="9"/>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9"/>
      <c r="F149" s="9"/>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9"/>
      <c r="F150" s="9"/>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9"/>
      <c r="F151" s="9"/>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9"/>
      <c r="F152" s="9"/>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9"/>
      <c r="F153" s="9"/>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9"/>
      <c r="F154" s="9"/>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9"/>
      <c r="F155" s="9"/>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9"/>
      <c r="F156" s="9"/>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9"/>
      <c r="F157" s="9"/>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9"/>
      <c r="F158" s="9"/>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9"/>
      <c r="F159" s="9"/>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9"/>
      <c r="F160" s="9"/>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9"/>
      <c r="F161" s="9"/>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9"/>
      <c r="F162" s="9"/>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9"/>
      <c r="F163" s="9"/>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9"/>
      <c r="F164" s="9"/>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9"/>
      <c r="F165" s="9"/>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9"/>
      <c r="F166" s="9"/>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9"/>
      <c r="F167" s="9"/>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9"/>
      <c r="F168" s="9"/>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9"/>
      <c r="F169" s="9"/>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9"/>
      <c r="F170" s="9"/>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9"/>
      <c r="F171" s="9"/>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9"/>
      <c r="F172" s="9"/>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9"/>
      <c r="F173" s="9"/>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9"/>
      <c r="F174" s="9"/>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9"/>
      <c r="F175" s="9"/>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9"/>
      <c r="F176" s="9"/>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9"/>
      <c r="F177" s="9"/>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9"/>
      <c r="F178" s="9"/>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9"/>
      <c r="F179" s="9"/>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9"/>
      <c r="F180" s="9"/>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9"/>
      <c r="F181" s="9"/>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9"/>
      <c r="F182" s="9"/>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9"/>
      <c r="F183" s="9"/>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9"/>
      <c r="F184" s="9"/>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9"/>
      <c r="F185" s="9"/>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9"/>
      <c r="F186" s="9"/>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9"/>
      <c r="F187" s="9"/>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9"/>
      <c r="F188" s="9"/>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9"/>
      <c r="F189" s="9"/>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9"/>
      <c r="F190" s="9"/>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9"/>
      <c r="F191" s="9"/>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9"/>
      <c r="F192" s="9"/>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9"/>
      <c r="F193" s="9"/>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9"/>
      <c r="F194" s="9"/>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9"/>
      <c r="F195" s="9"/>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9"/>
      <c r="F196" s="9"/>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9"/>
      <c r="F197" s="9"/>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9"/>
      <c r="F198" s="9"/>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9"/>
      <c r="F199" s="9"/>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9"/>
      <c r="F200" s="9"/>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9"/>
      <c r="F201" s="9"/>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9"/>
      <c r="F202" s="9"/>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9"/>
      <c r="F203" s="9"/>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9"/>
      <c r="F204" s="9"/>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9"/>
      <c r="F205" s="9"/>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9"/>
      <c r="F206" s="9"/>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9"/>
      <c r="F207" s="9"/>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9"/>
      <c r="F208" s="9"/>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9"/>
      <c r="F209" s="9"/>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9"/>
      <c r="F210" s="9"/>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9"/>
      <c r="F211" s="9"/>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9"/>
      <c r="F212" s="9"/>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9"/>
      <c r="F213" s="9"/>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9"/>
      <c r="F214" s="9"/>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9"/>
      <c r="F215" s="9"/>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9"/>
      <c r="F216" s="9"/>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9"/>
      <c r="F217" s="9"/>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9"/>
      <c r="F218" s="9"/>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9"/>
      <c r="F219" s="9"/>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9"/>
      <c r="F220" s="9"/>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9"/>
      <c r="F221" s="9"/>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9"/>
      <c r="F222" s="9"/>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9"/>
      <c r="F223" s="9"/>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9"/>
      <c r="F224" s="9"/>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9"/>
      <c r="F225" s="9"/>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9"/>
      <c r="F226" s="9"/>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9"/>
      <c r="F227" s="9"/>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9"/>
      <c r="F228" s="9"/>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9"/>
      <c r="F229" s="9"/>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9"/>
      <c r="F230" s="9"/>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9"/>
      <c r="F231" s="9"/>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9"/>
      <c r="F232" s="9"/>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9"/>
      <c r="F233" s="9"/>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9"/>
      <c r="F234" s="9"/>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9"/>
      <c r="F235" s="9"/>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9"/>
      <c r="F236" s="9"/>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9"/>
      <c r="F237" s="9"/>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9"/>
      <c r="F238" s="9"/>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9"/>
      <c r="F239" s="9"/>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B13" sqref="B13"/>
    </sheetView>
  </sheetViews>
  <sheetFormatPr defaultRowHeight="15"/>
  <cols>
    <col min="1" max="1" width="16.140625" customWidth="1"/>
    <col min="2" max="2" width="17.85546875" customWidth="1"/>
    <col min="3" max="3" width="15" customWidth="1"/>
  </cols>
  <sheetData>
    <row r="1" spans="1:3">
      <c r="A1" t="s">
        <v>288</v>
      </c>
      <c r="B1" s="66" t="s">
        <v>288</v>
      </c>
      <c r="C1" s="66" t="s">
        <v>288</v>
      </c>
    </row>
    <row r="2" spans="1:3" s="66" customFormat="1">
      <c r="A2" s="70" t="s">
        <v>317</v>
      </c>
      <c r="B2" s="70" t="s">
        <v>317</v>
      </c>
      <c r="C2" s="70" t="s">
        <v>317</v>
      </c>
    </row>
    <row r="3" spans="1:3">
      <c r="A3" s="70" t="s">
        <v>311</v>
      </c>
      <c r="B3" s="70" t="s">
        <v>311</v>
      </c>
      <c r="C3" s="70" t="s">
        <v>319</v>
      </c>
    </row>
    <row r="4" spans="1:3">
      <c r="A4" t="s">
        <v>302</v>
      </c>
      <c r="B4" s="66" t="s">
        <v>302</v>
      </c>
      <c r="C4" s="70" t="s">
        <v>320</v>
      </c>
    </row>
    <row r="5" spans="1:3">
      <c r="A5" s="70" t="s">
        <v>307</v>
      </c>
      <c r="B5" s="70" t="s">
        <v>308</v>
      </c>
      <c r="C5" s="70"/>
    </row>
    <row r="6" spans="1:3">
      <c r="A6" t="s">
        <v>303</v>
      </c>
      <c r="B6" s="66" t="s">
        <v>303</v>
      </c>
      <c r="C6" s="66"/>
    </row>
    <row r="7" spans="1:3">
      <c r="A7" s="68" t="s">
        <v>304</v>
      </c>
      <c r="B7" s="68" t="s">
        <v>304</v>
      </c>
      <c r="C7" s="68"/>
    </row>
    <row r="8" spans="1:3">
      <c r="B8" s="70" t="s">
        <v>327</v>
      </c>
    </row>
    <row r="9" spans="1:3">
      <c r="B9" s="70" t="s">
        <v>307</v>
      </c>
    </row>
    <row r="12" spans="1:3">
      <c r="B12" s="70"/>
    </row>
  </sheetData>
  <pageMargins left="0.7" right="0.7" top="0.75" bottom="0.75" header="0.3" footer="0.3"/>
  <pageSetup paperSize="9" orientation="portrait" horizontalDpi="200" verticalDpi="20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3"/>
  <sheetViews>
    <sheetView zoomScale="90" zoomScaleNormal="90" workbookViewId="0">
      <pane ySplit="1" topLeftCell="A92" activePane="bottomLeft" state="frozen"/>
      <selection pane="bottomLeft" activeCell="L44" sqref="L44"/>
    </sheetView>
  </sheetViews>
  <sheetFormatPr defaultRowHeight="15" outlineLevelCol="1"/>
  <cols>
    <col min="1" max="1" width="7.85546875" style="138" customWidth="1"/>
    <col min="2" max="2" width="68.5703125" style="138" customWidth="1"/>
    <col min="3" max="3" width="7.140625" style="138" customWidth="1"/>
    <col min="4" max="4" width="11.28515625" style="138" customWidth="1"/>
    <col min="5" max="5" width="10.42578125" style="138" customWidth="1"/>
    <col min="6" max="6" width="13.85546875" style="138" customWidth="1" outlineLevel="1"/>
    <col min="7" max="7" width="14.85546875" style="138" customWidth="1" outlineLevel="1"/>
    <col min="8" max="8" width="11.85546875" style="142" customWidth="1" outlineLevel="1"/>
    <col min="9" max="9" width="12.85546875" style="142" customWidth="1" outlineLevel="1"/>
    <col min="10" max="10" width="18.140625" style="142" customWidth="1" outlineLevel="1"/>
    <col min="11" max="11" width="15.5703125" style="142" customWidth="1" outlineLevel="1"/>
    <col min="12" max="12" width="15.28515625" style="142" customWidth="1" outlineLevel="1"/>
  </cols>
  <sheetData>
    <row r="1" spans="1:12" ht="57">
      <c r="A1" s="11" t="s">
        <v>48</v>
      </c>
      <c r="B1" s="11" t="s">
        <v>1</v>
      </c>
      <c r="C1" s="11" t="s">
        <v>49</v>
      </c>
      <c r="D1" s="11" t="s">
        <v>50</v>
      </c>
      <c r="E1" s="11" t="s">
        <v>51</v>
      </c>
      <c r="F1" s="11" t="s">
        <v>52</v>
      </c>
      <c r="G1" s="11" t="s">
        <v>350</v>
      </c>
      <c r="H1" s="143" t="s">
        <v>351</v>
      </c>
      <c r="I1" s="143" t="s">
        <v>352</v>
      </c>
      <c r="J1" s="143" t="s">
        <v>353</v>
      </c>
      <c r="K1" s="143" t="s">
        <v>355</v>
      </c>
      <c r="L1" s="143" t="s">
        <v>356</v>
      </c>
    </row>
    <row r="2" spans="1:12" s="155" customFormat="1" ht="15.75">
      <c r="A2" s="150" t="s">
        <v>54</v>
      </c>
      <c r="B2" s="151" t="s">
        <v>55</v>
      </c>
      <c r="C2" s="152"/>
      <c r="D2" s="153"/>
      <c r="E2" s="153"/>
      <c r="F2" s="153"/>
      <c r="G2" s="153"/>
      <c r="H2" s="154"/>
      <c r="I2" s="154"/>
      <c r="J2" s="154"/>
      <c r="K2" s="154"/>
      <c r="L2" s="154"/>
    </row>
    <row r="3" spans="1:12" s="155" customFormat="1" ht="15" customHeight="1">
      <c r="A3" s="156" t="s">
        <v>56</v>
      </c>
      <c r="B3" s="157" t="s">
        <v>57</v>
      </c>
      <c r="C3" s="158" t="s">
        <v>58</v>
      </c>
      <c r="D3" s="159">
        <v>158.4</v>
      </c>
      <c r="E3" s="159">
        <v>450</v>
      </c>
      <c r="F3" s="159">
        <f t="shared" ref="F3:F11" si="0">D3*E3</f>
        <v>71280</v>
      </c>
      <c r="G3" s="159">
        <f>F3*40%</f>
        <v>28512</v>
      </c>
      <c r="H3" s="160">
        <f>G3/2500</f>
        <v>11.4048</v>
      </c>
      <c r="I3" s="161">
        <v>2</v>
      </c>
      <c r="J3" s="160">
        <f>H3/I3</f>
        <v>5.7023999999999999</v>
      </c>
      <c r="K3" s="160"/>
      <c r="L3" s="160"/>
    </row>
    <row r="4" spans="1:12" s="155" customFormat="1" ht="15.75">
      <c r="A4" s="156" t="s">
        <v>59</v>
      </c>
      <c r="B4" s="157" t="s">
        <v>60</v>
      </c>
      <c r="C4" s="158" t="s">
        <v>58</v>
      </c>
      <c r="D4" s="159">
        <v>189</v>
      </c>
      <c r="E4" s="159">
        <v>250</v>
      </c>
      <c r="F4" s="159">
        <f t="shared" si="0"/>
        <v>47250</v>
      </c>
      <c r="G4" s="159">
        <f t="shared" ref="G4:G67" si="1">F4*40%</f>
        <v>18900</v>
      </c>
      <c r="H4" s="160">
        <f t="shared" ref="H4:H68" si="2">G4/2500</f>
        <v>7.56</v>
      </c>
      <c r="I4" s="161">
        <v>2</v>
      </c>
      <c r="J4" s="160">
        <f t="shared" ref="J4:J68" si="3">H4/I4</f>
        <v>3.78</v>
      </c>
      <c r="K4" s="160"/>
      <c r="L4" s="160"/>
    </row>
    <row r="5" spans="1:12" s="155" customFormat="1" ht="15.75">
      <c r="A5" s="156" t="s">
        <v>61</v>
      </c>
      <c r="B5" s="157" t="s">
        <v>62</v>
      </c>
      <c r="C5" s="158" t="s">
        <v>58</v>
      </c>
      <c r="D5" s="159">
        <v>189</v>
      </c>
      <c r="E5" s="159">
        <v>145</v>
      </c>
      <c r="F5" s="159">
        <f t="shared" si="0"/>
        <v>27405</v>
      </c>
      <c r="G5" s="159">
        <f t="shared" si="1"/>
        <v>10962</v>
      </c>
      <c r="H5" s="160">
        <f t="shared" si="2"/>
        <v>4.3848000000000003</v>
      </c>
      <c r="I5" s="161">
        <v>2</v>
      </c>
      <c r="J5" s="160">
        <f t="shared" si="3"/>
        <v>2.1924000000000001</v>
      </c>
      <c r="K5" s="160"/>
      <c r="L5" s="160"/>
    </row>
    <row r="6" spans="1:12" s="155" customFormat="1" ht="31.5">
      <c r="A6" s="156" t="s">
        <v>63</v>
      </c>
      <c r="B6" s="157" t="s">
        <v>64</v>
      </c>
      <c r="C6" s="158" t="s">
        <v>58</v>
      </c>
      <c r="D6" s="159">
        <v>24</v>
      </c>
      <c r="E6" s="159">
        <v>250</v>
      </c>
      <c r="F6" s="159">
        <f t="shared" si="0"/>
        <v>6000</v>
      </c>
      <c r="G6" s="159">
        <f t="shared" si="1"/>
        <v>2400</v>
      </c>
      <c r="H6" s="160">
        <f t="shared" si="2"/>
        <v>0.96</v>
      </c>
      <c r="I6" s="161">
        <v>2</v>
      </c>
      <c r="J6" s="160">
        <f t="shared" si="3"/>
        <v>0.48</v>
      </c>
      <c r="K6" s="160"/>
      <c r="L6" s="160"/>
    </row>
    <row r="7" spans="1:12" s="155" customFormat="1" ht="15.75">
      <c r="A7" s="156" t="s">
        <v>65</v>
      </c>
      <c r="B7" s="157" t="s">
        <v>66</v>
      </c>
      <c r="C7" s="158" t="s">
        <v>67</v>
      </c>
      <c r="D7" s="159">
        <v>40</v>
      </c>
      <c r="E7" s="159">
        <v>210</v>
      </c>
      <c r="F7" s="159">
        <f t="shared" si="0"/>
        <v>8400</v>
      </c>
      <c r="G7" s="159">
        <f t="shared" si="1"/>
        <v>3360</v>
      </c>
      <c r="H7" s="160">
        <f t="shared" si="2"/>
        <v>1.3440000000000001</v>
      </c>
      <c r="I7" s="161">
        <v>2</v>
      </c>
      <c r="J7" s="160">
        <f t="shared" si="3"/>
        <v>0.67200000000000004</v>
      </c>
      <c r="K7" s="160"/>
      <c r="L7" s="160"/>
    </row>
    <row r="8" spans="1:12" s="155" customFormat="1" ht="15.75">
      <c r="A8" s="156" t="s">
        <v>68</v>
      </c>
      <c r="B8" s="157" t="s">
        <v>69</v>
      </c>
      <c r="C8" s="158" t="s">
        <v>58</v>
      </c>
      <c r="D8" s="162">
        <v>18.7</v>
      </c>
      <c r="E8" s="159">
        <v>700</v>
      </c>
      <c r="F8" s="159">
        <f t="shared" si="0"/>
        <v>13090</v>
      </c>
      <c r="G8" s="159">
        <f t="shared" si="1"/>
        <v>5236</v>
      </c>
      <c r="H8" s="160">
        <f t="shared" si="2"/>
        <v>2.0943999999999998</v>
      </c>
      <c r="I8" s="161">
        <v>2</v>
      </c>
      <c r="J8" s="160">
        <f t="shared" si="3"/>
        <v>1.0471999999999999</v>
      </c>
      <c r="K8" s="160"/>
      <c r="L8" s="160"/>
    </row>
    <row r="9" spans="1:12" s="155" customFormat="1" ht="15.75">
      <c r="A9" s="156" t="s">
        <v>70</v>
      </c>
      <c r="B9" s="157" t="s">
        <v>71</v>
      </c>
      <c r="C9" s="158" t="s">
        <v>72</v>
      </c>
      <c r="D9" s="159">
        <v>16</v>
      </c>
      <c r="E9" s="159">
        <v>1050</v>
      </c>
      <c r="F9" s="159">
        <f t="shared" si="0"/>
        <v>16800</v>
      </c>
      <c r="G9" s="159">
        <f t="shared" si="1"/>
        <v>6720</v>
      </c>
      <c r="H9" s="160">
        <f t="shared" si="2"/>
        <v>2.6880000000000002</v>
      </c>
      <c r="I9" s="161">
        <v>2</v>
      </c>
      <c r="J9" s="160">
        <f t="shared" si="3"/>
        <v>1.3440000000000001</v>
      </c>
      <c r="K9" s="160"/>
      <c r="L9" s="160"/>
    </row>
    <row r="10" spans="1:12" s="155" customFormat="1" ht="15.75">
      <c r="A10" s="156" t="s">
        <v>73</v>
      </c>
      <c r="B10" s="157" t="s">
        <v>74</v>
      </c>
      <c r="C10" s="158" t="s">
        <v>72</v>
      </c>
      <c r="D10" s="159">
        <v>4</v>
      </c>
      <c r="E10" s="159">
        <v>900</v>
      </c>
      <c r="F10" s="159">
        <f t="shared" si="0"/>
        <v>3600</v>
      </c>
      <c r="G10" s="159">
        <f t="shared" si="1"/>
        <v>1440</v>
      </c>
      <c r="H10" s="160">
        <f t="shared" si="2"/>
        <v>0.57599999999999996</v>
      </c>
      <c r="I10" s="161">
        <v>2</v>
      </c>
      <c r="J10" s="160">
        <f t="shared" si="3"/>
        <v>0.28799999999999998</v>
      </c>
      <c r="K10" s="160"/>
      <c r="L10" s="160"/>
    </row>
    <row r="11" spans="1:12" s="155" customFormat="1" ht="15.75">
      <c r="A11" s="156" t="s">
        <v>75</v>
      </c>
      <c r="B11" s="157" t="s">
        <v>76</v>
      </c>
      <c r="C11" s="158" t="s">
        <v>77</v>
      </c>
      <c r="D11" s="159">
        <v>4.2</v>
      </c>
      <c r="E11" s="159">
        <v>2000</v>
      </c>
      <c r="F11" s="159">
        <f t="shared" si="0"/>
        <v>8400</v>
      </c>
      <c r="G11" s="159">
        <f t="shared" si="1"/>
        <v>3360</v>
      </c>
      <c r="H11" s="160">
        <f t="shared" si="2"/>
        <v>1.3440000000000001</v>
      </c>
      <c r="I11" s="161">
        <v>2</v>
      </c>
      <c r="J11" s="160">
        <f t="shared" si="3"/>
        <v>0.67200000000000004</v>
      </c>
      <c r="K11" s="160"/>
      <c r="L11" s="160"/>
    </row>
    <row r="12" spans="1:12" s="155" customFormat="1" ht="15.75">
      <c r="A12" s="150" t="s">
        <v>78</v>
      </c>
      <c r="B12" s="151" t="s">
        <v>79</v>
      </c>
      <c r="C12" s="163"/>
      <c r="D12" s="164"/>
      <c r="E12" s="164"/>
      <c r="F12" s="164"/>
      <c r="G12" s="159">
        <f t="shared" si="1"/>
        <v>0</v>
      </c>
      <c r="H12" s="160">
        <f t="shared" si="2"/>
        <v>0</v>
      </c>
      <c r="I12" s="161">
        <v>2</v>
      </c>
      <c r="J12" s="160">
        <f t="shared" si="3"/>
        <v>0</v>
      </c>
      <c r="K12" s="160"/>
      <c r="L12" s="160"/>
    </row>
    <row r="13" spans="1:12" s="155" customFormat="1" ht="31.5">
      <c r="A13" s="156" t="s">
        <v>80</v>
      </c>
      <c r="B13" s="157" t="s">
        <v>81</v>
      </c>
      <c r="C13" s="158" t="s">
        <v>82</v>
      </c>
      <c r="D13" s="159">
        <v>1</v>
      </c>
      <c r="E13" s="159">
        <v>15000</v>
      </c>
      <c r="F13" s="159">
        <f>D13*E13</f>
        <v>15000</v>
      </c>
      <c r="G13" s="159">
        <f t="shared" si="1"/>
        <v>6000</v>
      </c>
      <c r="H13" s="160">
        <f t="shared" si="2"/>
        <v>2.4</v>
      </c>
      <c r="I13" s="161">
        <v>2</v>
      </c>
      <c r="J13" s="160">
        <f t="shared" si="3"/>
        <v>1.2</v>
      </c>
      <c r="K13" s="160"/>
      <c r="L13" s="160"/>
    </row>
    <row r="14" spans="1:12" s="155" customFormat="1" ht="15.75">
      <c r="A14" s="150" t="s">
        <v>83</v>
      </c>
      <c r="B14" s="151" t="s">
        <v>84</v>
      </c>
      <c r="C14" s="152"/>
      <c r="D14" s="153"/>
      <c r="E14" s="153"/>
      <c r="F14" s="153"/>
      <c r="G14" s="159">
        <f t="shared" si="1"/>
        <v>0</v>
      </c>
      <c r="H14" s="160">
        <f t="shared" si="2"/>
        <v>0</v>
      </c>
      <c r="I14" s="161">
        <v>2</v>
      </c>
      <c r="J14" s="160">
        <f t="shared" si="3"/>
        <v>0</v>
      </c>
      <c r="K14" s="160"/>
      <c r="L14" s="160"/>
    </row>
    <row r="15" spans="1:12" s="155" customFormat="1" ht="15.75">
      <c r="A15" s="156" t="s">
        <v>85</v>
      </c>
      <c r="B15" s="157" t="s">
        <v>86</v>
      </c>
      <c r="C15" s="158" t="s">
        <v>58</v>
      </c>
      <c r="D15" s="159">
        <v>32</v>
      </c>
      <c r="E15" s="159">
        <v>500</v>
      </c>
      <c r="F15" s="159">
        <f>D15*E15</f>
        <v>16000</v>
      </c>
      <c r="G15" s="159">
        <f t="shared" si="1"/>
        <v>6400</v>
      </c>
      <c r="H15" s="160">
        <f t="shared" si="2"/>
        <v>2.56</v>
      </c>
      <c r="I15" s="161">
        <v>2</v>
      </c>
      <c r="J15" s="160">
        <f t="shared" si="3"/>
        <v>1.28</v>
      </c>
      <c r="K15" s="160"/>
      <c r="L15" s="160"/>
    </row>
    <row r="16" spans="1:12" s="155" customFormat="1" ht="15.75">
      <c r="A16" s="156" t="s">
        <v>87</v>
      </c>
      <c r="B16" s="157" t="s">
        <v>88</v>
      </c>
      <c r="C16" s="158" t="s">
        <v>89</v>
      </c>
      <c r="D16" s="159">
        <v>60</v>
      </c>
      <c r="E16" s="159">
        <v>550</v>
      </c>
      <c r="F16" s="159">
        <f>D16*E16</f>
        <v>33000</v>
      </c>
      <c r="G16" s="159">
        <f t="shared" si="1"/>
        <v>13200</v>
      </c>
      <c r="H16" s="160">
        <f t="shared" si="2"/>
        <v>5.28</v>
      </c>
      <c r="I16" s="161">
        <v>2</v>
      </c>
      <c r="J16" s="160">
        <f t="shared" si="3"/>
        <v>2.64</v>
      </c>
      <c r="K16" s="160"/>
      <c r="L16" s="160"/>
    </row>
    <row r="17" spans="1:12" s="155" customFormat="1" ht="15.75">
      <c r="A17" s="156" t="s">
        <v>90</v>
      </c>
      <c r="B17" s="157" t="s">
        <v>91</v>
      </c>
      <c r="C17" s="158" t="s">
        <v>67</v>
      </c>
      <c r="D17" s="159">
        <v>48</v>
      </c>
      <c r="E17" s="159">
        <v>700</v>
      </c>
      <c r="F17" s="159">
        <f>D17*E17</f>
        <v>33600</v>
      </c>
      <c r="G17" s="159">
        <f t="shared" si="1"/>
        <v>13440</v>
      </c>
      <c r="H17" s="160">
        <f t="shared" si="2"/>
        <v>5.3760000000000003</v>
      </c>
      <c r="I17" s="161">
        <v>2</v>
      </c>
      <c r="J17" s="160">
        <f t="shared" si="3"/>
        <v>2.6880000000000002</v>
      </c>
      <c r="K17" s="160"/>
      <c r="L17" s="160"/>
    </row>
    <row r="18" spans="1:12" s="155" customFormat="1" ht="15.75">
      <c r="A18" s="165" t="s">
        <v>92</v>
      </c>
      <c r="B18" s="151" t="s">
        <v>93</v>
      </c>
      <c r="C18" s="163"/>
      <c r="D18" s="164"/>
      <c r="E18" s="164"/>
      <c r="F18" s="164"/>
      <c r="G18" s="159">
        <f t="shared" si="1"/>
        <v>0</v>
      </c>
      <c r="H18" s="160">
        <f t="shared" si="2"/>
        <v>0</v>
      </c>
      <c r="I18" s="161">
        <v>2</v>
      </c>
      <c r="J18" s="160">
        <f t="shared" si="3"/>
        <v>0</v>
      </c>
      <c r="K18" s="160"/>
      <c r="L18" s="160"/>
    </row>
    <row r="19" spans="1:12" s="155" customFormat="1" ht="15.75">
      <c r="A19" s="156" t="s">
        <v>94</v>
      </c>
      <c r="B19" s="157" t="s">
        <v>95</v>
      </c>
      <c r="C19" s="158" t="s">
        <v>89</v>
      </c>
      <c r="D19" s="159">
        <v>6</v>
      </c>
      <c r="E19" s="159">
        <v>6800</v>
      </c>
      <c r="F19" s="159">
        <f>D19*E19</f>
        <v>40800</v>
      </c>
      <c r="G19" s="159">
        <f t="shared" si="1"/>
        <v>16320</v>
      </c>
      <c r="H19" s="160">
        <f t="shared" si="2"/>
        <v>6.5279999999999996</v>
      </c>
      <c r="I19" s="161">
        <v>2</v>
      </c>
      <c r="J19" s="160">
        <f t="shared" si="3"/>
        <v>3.2639999999999998</v>
      </c>
      <c r="K19" s="160"/>
      <c r="L19" s="160"/>
    </row>
    <row r="20" spans="1:12" s="155" customFormat="1" ht="31.5">
      <c r="A20" s="156" t="s">
        <v>97</v>
      </c>
      <c r="B20" s="157" t="s">
        <v>291</v>
      </c>
      <c r="C20" s="158" t="s">
        <v>96</v>
      </c>
      <c r="D20" s="159">
        <v>32</v>
      </c>
      <c r="E20" s="159">
        <v>1100</v>
      </c>
      <c r="F20" s="159">
        <f>D20*E20</f>
        <v>35200</v>
      </c>
      <c r="G20" s="159">
        <f t="shared" si="1"/>
        <v>14080</v>
      </c>
      <c r="H20" s="160">
        <f t="shared" si="2"/>
        <v>5.6319999999999997</v>
      </c>
      <c r="I20" s="161">
        <v>2</v>
      </c>
      <c r="J20" s="160">
        <f t="shared" si="3"/>
        <v>2.8159999999999998</v>
      </c>
      <c r="K20" s="160"/>
      <c r="L20" s="160"/>
    </row>
    <row r="21" spans="1:12" s="155" customFormat="1" ht="15.75">
      <c r="A21" s="156" t="s">
        <v>289</v>
      </c>
      <c r="B21" s="157" t="s">
        <v>290</v>
      </c>
      <c r="C21" s="158" t="s">
        <v>58</v>
      </c>
      <c r="D21" s="159">
        <v>240</v>
      </c>
      <c r="E21" s="159">
        <v>100</v>
      </c>
      <c r="F21" s="159">
        <f>D21*E21</f>
        <v>24000</v>
      </c>
      <c r="G21" s="159">
        <f t="shared" si="1"/>
        <v>9600</v>
      </c>
      <c r="H21" s="160">
        <f t="shared" si="2"/>
        <v>3.84</v>
      </c>
      <c r="I21" s="161">
        <v>2</v>
      </c>
      <c r="J21" s="160">
        <f t="shared" si="3"/>
        <v>1.92</v>
      </c>
      <c r="K21" s="160"/>
      <c r="L21" s="160"/>
    </row>
    <row r="22" spans="1:12" s="155" customFormat="1" ht="15.75">
      <c r="A22" s="150" t="s">
        <v>98</v>
      </c>
      <c r="B22" s="151" t="s">
        <v>99</v>
      </c>
      <c r="C22" s="152"/>
      <c r="D22" s="153"/>
      <c r="E22" s="153"/>
      <c r="F22" s="153"/>
      <c r="G22" s="159">
        <f t="shared" si="1"/>
        <v>0</v>
      </c>
      <c r="H22" s="160">
        <f t="shared" si="2"/>
        <v>0</v>
      </c>
      <c r="I22" s="161">
        <v>2</v>
      </c>
      <c r="J22" s="160">
        <f t="shared" si="3"/>
        <v>0</v>
      </c>
      <c r="K22" s="160"/>
      <c r="L22" s="160"/>
    </row>
    <row r="23" spans="1:12" s="155" customFormat="1" ht="15.75">
      <c r="A23" s="156" t="s">
        <v>100</v>
      </c>
      <c r="B23" s="157" t="s">
        <v>101</v>
      </c>
      <c r="C23" s="158" t="s">
        <v>96</v>
      </c>
      <c r="D23" s="159">
        <v>8</v>
      </c>
      <c r="E23" s="159">
        <v>3000</v>
      </c>
      <c r="F23" s="159">
        <f>D23*E23</f>
        <v>24000</v>
      </c>
      <c r="G23" s="159">
        <f t="shared" si="1"/>
        <v>9600</v>
      </c>
      <c r="H23" s="160">
        <f t="shared" si="2"/>
        <v>3.84</v>
      </c>
      <c r="I23" s="161">
        <v>2</v>
      </c>
      <c r="J23" s="160">
        <f t="shared" si="3"/>
        <v>1.92</v>
      </c>
      <c r="K23" s="160"/>
      <c r="L23" s="160"/>
    </row>
    <row r="24" spans="1:12" s="155" customFormat="1" ht="15.75">
      <c r="A24" s="150" t="s">
        <v>102</v>
      </c>
      <c r="B24" s="151" t="s">
        <v>103</v>
      </c>
      <c r="C24" s="152"/>
      <c r="D24" s="153"/>
      <c r="E24" s="153"/>
      <c r="F24" s="153"/>
      <c r="G24" s="159">
        <f t="shared" si="1"/>
        <v>0</v>
      </c>
      <c r="H24" s="160">
        <f t="shared" si="2"/>
        <v>0</v>
      </c>
      <c r="I24" s="161">
        <v>2</v>
      </c>
      <c r="J24" s="160">
        <f t="shared" si="3"/>
        <v>0</v>
      </c>
      <c r="K24" s="160"/>
      <c r="L24" s="160"/>
    </row>
    <row r="25" spans="1:12" s="155" customFormat="1" ht="15.75">
      <c r="A25" s="156" t="s">
        <v>104</v>
      </c>
      <c r="B25" s="157" t="s">
        <v>12</v>
      </c>
      <c r="C25" s="158" t="s">
        <v>96</v>
      </c>
      <c r="D25" s="159">
        <v>8</v>
      </c>
      <c r="E25" s="159">
        <v>2500</v>
      </c>
      <c r="F25" s="159">
        <f>D25*E25</f>
        <v>20000</v>
      </c>
      <c r="G25" s="159">
        <f t="shared" si="1"/>
        <v>8000</v>
      </c>
      <c r="H25" s="160">
        <f t="shared" si="2"/>
        <v>3.2</v>
      </c>
      <c r="I25" s="161">
        <v>2</v>
      </c>
      <c r="J25" s="160">
        <f t="shared" si="3"/>
        <v>1.6</v>
      </c>
      <c r="K25" s="160"/>
      <c r="L25" s="160"/>
    </row>
    <row r="26" spans="1:12" s="155" customFormat="1" ht="31.5">
      <c r="A26" s="150" t="s">
        <v>105</v>
      </c>
      <c r="B26" s="151" t="s">
        <v>106</v>
      </c>
      <c r="C26" s="152"/>
      <c r="D26" s="153"/>
      <c r="E26" s="153"/>
      <c r="F26" s="153"/>
      <c r="G26" s="159">
        <f t="shared" si="1"/>
        <v>0</v>
      </c>
      <c r="H26" s="160">
        <f t="shared" si="2"/>
        <v>0</v>
      </c>
      <c r="I26" s="161">
        <v>2</v>
      </c>
      <c r="J26" s="160">
        <f t="shared" si="3"/>
        <v>0</v>
      </c>
      <c r="K26" s="160"/>
      <c r="L26" s="160"/>
    </row>
    <row r="27" spans="1:12" s="155" customFormat="1" ht="15.75">
      <c r="A27" s="156" t="s">
        <v>107</v>
      </c>
      <c r="B27" s="157" t="s">
        <v>108</v>
      </c>
      <c r="C27" s="158" t="s">
        <v>82</v>
      </c>
      <c r="D27" s="159">
        <v>1</v>
      </c>
      <c r="E27" s="159">
        <v>7000</v>
      </c>
      <c r="F27" s="159">
        <f>D27*E27</f>
        <v>7000</v>
      </c>
      <c r="G27" s="159">
        <f t="shared" si="1"/>
        <v>2800</v>
      </c>
      <c r="H27" s="160">
        <f t="shared" si="2"/>
        <v>1.1200000000000001</v>
      </c>
      <c r="I27" s="161">
        <v>2</v>
      </c>
      <c r="J27" s="160">
        <f t="shared" si="3"/>
        <v>0.56000000000000005</v>
      </c>
      <c r="K27" s="160"/>
      <c r="L27" s="160"/>
    </row>
    <row r="28" spans="1:12" s="155" customFormat="1" ht="15.75">
      <c r="A28" s="150" t="s">
        <v>109</v>
      </c>
      <c r="B28" s="151" t="s">
        <v>110</v>
      </c>
      <c r="C28" s="152"/>
      <c r="D28" s="153"/>
      <c r="E28" s="153"/>
      <c r="F28" s="153"/>
      <c r="G28" s="159">
        <f t="shared" si="1"/>
        <v>0</v>
      </c>
      <c r="H28" s="160">
        <f t="shared" si="2"/>
        <v>0</v>
      </c>
      <c r="I28" s="161">
        <v>2</v>
      </c>
      <c r="J28" s="160">
        <f t="shared" si="3"/>
        <v>0</v>
      </c>
      <c r="K28" s="160"/>
      <c r="L28" s="160"/>
    </row>
    <row r="29" spans="1:12" s="155" customFormat="1" ht="15.75">
      <c r="A29" s="156" t="s">
        <v>111</v>
      </c>
      <c r="B29" s="157" t="s">
        <v>112</v>
      </c>
      <c r="C29" s="166" t="s">
        <v>113</v>
      </c>
      <c r="D29" s="159">
        <v>18</v>
      </c>
      <c r="E29" s="159">
        <v>1850</v>
      </c>
      <c r="F29" s="159">
        <f>D29*E29</f>
        <v>33300</v>
      </c>
      <c r="G29" s="159">
        <f t="shared" si="1"/>
        <v>13320</v>
      </c>
      <c r="H29" s="160">
        <f t="shared" si="2"/>
        <v>5.3280000000000003</v>
      </c>
      <c r="I29" s="161">
        <v>2</v>
      </c>
      <c r="J29" s="160">
        <f t="shared" si="3"/>
        <v>2.6640000000000001</v>
      </c>
      <c r="K29" s="160"/>
      <c r="L29" s="160"/>
    </row>
    <row r="30" spans="1:12" s="155" customFormat="1" ht="15.75">
      <c r="A30" s="167" t="s">
        <v>286</v>
      </c>
      <c r="B30" s="168" t="s">
        <v>287</v>
      </c>
      <c r="C30" s="169" t="s">
        <v>96</v>
      </c>
      <c r="D30" s="159">
        <v>4</v>
      </c>
      <c r="E30" s="159">
        <v>2900</v>
      </c>
      <c r="F30" s="159">
        <f>D30*E30</f>
        <v>11600</v>
      </c>
      <c r="G30" s="159">
        <f t="shared" si="1"/>
        <v>4640</v>
      </c>
      <c r="H30" s="160">
        <f t="shared" si="2"/>
        <v>1.8560000000000001</v>
      </c>
      <c r="I30" s="161">
        <v>2</v>
      </c>
      <c r="J30" s="160">
        <f t="shared" si="3"/>
        <v>0.92800000000000005</v>
      </c>
      <c r="K30" s="160"/>
      <c r="L30" s="160"/>
    </row>
    <row r="31" spans="1:12" s="155" customFormat="1" ht="15.75">
      <c r="A31" s="170" t="s">
        <v>343</v>
      </c>
      <c r="B31" s="171" t="s">
        <v>336</v>
      </c>
      <c r="C31" s="172" t="s">
        <v>96</v>
      </c>
      <c r="D31" s="173">
        <v>4</v>
      </c>
      <c r="E31" s="174">
        <v>1000</v>
      </c>
      <c r="F31" s="159">
        <f>D31*E31</f>
        <v>4000</v>
      </c>
      <c r="G31" s="159">
        <f t="shared" si="1"/>
        <v>1600</v>
      </c>
      <c r="H31" s="160">
        <f t="shared" si="2"/>
        <v>0.64</v>
      </c>
      <c r="I31" s="161">
        <v>2</v>
      </c>
      <c r="J31" s="160">
        <f t="shared" si="3"/>
        <v>0.32</v>
      </c>
      <c r="K31" s="160"/>
      <c r="L31" s="160"/>
    </row>
    <row r="32" spans="1:12" s="155" customFormat="1" ht="15.75">
      <c r="A32" s="170" t="s">
        <v>344</v>
      </c>
      <c r="B32" s="171" t="s">
        <v>345</v>
      </c>
      <c r="C32" s="172" t="s">
        <v>82</v>
      </c>
      <c r="D32" s="173">
        <v>4</v>
      </c>
      <c r="E32" s="174">
        <v>1000</v>
      </c>
      <c r="F32" s="159">
        <f>D32*E32</f>
        <v>4000</v>
      </c>
      <c r="G32" s="159">
        <f t="shared" si="1"/>
        <v>1600</v>
      </c>
      <c r="H32" s="160">
        <f t="shared" si="2"/>
        <v>0.64</v>
      </c>
      <c r="I32" s="161">
        <v>2</v>
      </c>
      <c r="J32" s="160">
        <f t="shared" si="3"/>
        <v>0.32</v>
      </c>
      <c r="K32" s="160"/>
      <c r="L32" s="160"/>
    </row>
    <row r="33" spans="1:12" ht="15.75">
      <c r="A33" s="12" t="s">
        <v>114</v>
      </c>
      <c r="B33" s="63" t="s">
        <v>115</v>
      </c>
      <c r="C33" s="62"/>
      <c r="D33" s="61"/>
      <c r="E33" s="15"/>
      <c r="F33" s="15"/>
      <c r="G33" s="21">
        <f t="shared" si="1"/>
        <v>0</v>
      </c>
      <c r="H33" s="145">
        <f t="shared" si="2"/>
        <v>0</v>
      </c>
      <c r="I33" s="146">
        <v>2</v>
      </c>
      <c r="J33" s="145">
        <f t="shared" si="3"/>
        <v>0</v>
      </c>
      <c r="K33" s="145"/>
      <c r="L33" s="145"/>
    </row>
    <row r="34" spans="1:12" ht="15.75">
      <c r="A34" s="17" t="s">
        <v>116</v>
      </c>
      <c r="B34" s="18" t="s">
        <v>117</v>
      </c>
      <c r="C34" s="19" t="s">
        <v>82</v>
      </c>
      <c r="D34" s="21">
        <v>1</v>
      </c>
      <c r="E34" s="21">
        <v>30000</v>
      </c>
      <c r="F34" s="21">
        <f>D34*E34</f>
        <v>30000</v>
      </c>
      <c r="G34" s="21">
        <f t="shared" si="1"/>
        <v>12000</v>
      </c>
      <c r="H34" s="145">
        <f t="shared" si="2"/>
        <v>4.8</v>
      </c>
      <c r="I34" s="146">
        <v>2</v>
      </c>
      <c r="J34" s="145">
        <f t="shared" si="3"/>
        <v>2.4</v>
      </c>
      <c r="K34" s="145"/>
      <c r="L34" s="145"/>
    </row>
    <row r="35" spans="1:12" ht="15.75">
      <c r="A35" s="23"/>
      <c r="B35" s="18"/>
      <c r="C35" s="60"/>
      <c r="D35" s="21"/>
      <c r="E35" s="21"/>
      <c r="F35" s="21"/>
      <c r="G35" s="21">
        <f t="shared" si="1"/>
        <v>0</v>
      </c>
      <c r="H35" s="145">
        <f t="shared" si="2"/>
        <v>0</v>
      </c>
      <c r="I35" s="146">
        <v>2</v>
      </c>
      <c r="J35" s="145">
        <f t="shared" si="3"/>
        <v>0</v>
      </c>
      <c r="K35" s="145"/>
      <c r="L35" s="145"/>
    </row>
    <row r="36" spans="1:12" s="155" customFormat="1" ht="15.75">
      <c r="A36" s="150" t="s">
        <v>118</v>
      </c>
      <c r="B36" s="175" t="s">
        <v>119</v>
      </c>
      <c r="C36" s="176"/>
      <c r="D36" s="177"/>
      <c r="E36" s="153"/>
      <c r="F36" s="153"/>
      <c r="G36" s="159">
        <f t="shared" si="1"/>
        <v>0</v>
      </c>
      <c r="H36" s="160">
        <f t="shared" si="2"/>
        <v>0</v>
      </c>
      <c r="I36" s="161">
        <v>2</v>
      </c>
      <c r="J36" s="160">
        <f t="shared" si="3"/>
        <v>0</v>
      </c>
      <c r="K36" s="160"/>
      <c r="L36" s="160"/>
    </row>
    <row r="37" spans="1:12" s="155" customFormat="1" ht="15.75">
      <c r="A37" s="156" t="s">
        <v>120</v>
      </c>
      <c r="B37" s="157" t="s">
        <v>121</v>
      </c>
      <c r="C37" s="158" t="s">
        <v>67</v>
      </c>
      <c r="D37" s="159">
        <v>98</v>
      </c>
      <c r="E37" s="159">
        <v>210</v>
      </c>
      <c r="F37" s="159">
        <f t="shared" ref="F37:F42" si="4">D37*E37</f>
        <v>20580</v>
      </c>
      <c r="G37" s="159">
        <f t="shared" si="1"/>
        <v>8232</v>
      </c>
      <c r="H37" s="160">
        <f t="shared" si="2"/>
        <v>3.2928000000000002</v>
      </c>
      <c r="I37" s="161">
        <v>2</v>
      </c>
      <c r="J37" s="160">
        <f t="shared" si="3"/>
        <v>1.6464000000000001</v>
      </c>
      <c r="K37" s="160"/>
      <c r="L37" s="160"/>
    </row>
    <row r="38" spans="1:12" s="155" customFormat="1" ht="15.75">
      <c r="A38" s="156" t="s">
        <v>122</v>
      </c>
      <c r="B38" s="157" t="s">
        <v>123</v>
      </c>
      <c r="C38" s="158" t="s">
        <v>67</v>
      </c>
      <c r="D38" s="159">
        <v>98</v>
      </c>
      <c r="E38" s="159">
        <v>180</v>
      </c>
      <c r="F38" s="159">
        <f t="shared" si="4"/>
        <v>17640</v>
      </c>
      <c r="G38" s="159">
        <f t="shared" si="1"/>
        <v>7056</v>
      </c>
      <c r="H38" s="160">
        <f t="shared" si="2"/>
        <v>2.8224</v>
      </c>
      <c r="I38" s="161">
        <v>2</v>
      </c>
      <c r="J38" s="160">
        <f t="shared" si="3"/>
        <v>1.4112</v>
      </c>
      <c r="K38" s="160"/>
      <c r="L38" s="160"/>
    </row>
    <row r="39" spans="1:12" s="155" customFormat="1" ht="15.75">
      <c r="A39" s="156" t="s">
        <v>124</v>
      </c>
      <c r="B39" s="157" t="s">
        <v>125</v>
      </c>
      <c r="C39" s="158" t="s">
        <v>67</v>
      </c>
      <c r="D39" s="159">
        <v>90</v>
      </c>
      <c r="E39" s="159">
        <v>100</v>
      </c>
      <c r="F39" s="159">
        <f t="shared" si="4"/>
        <v>9000</v>
      </c>
      <c r="G39" s="159">
        <f t="shared" si="1"/>
        <v>3600</v>
      </c>
      <c r="H39" s="160">
        <f t="shared" si="2"/>
        <v>1.44</v>
      </c>
      <c r="I39" s="161">
        <v>2</v>
      </c>
      <c r="J39" s="160">
        <f t="shared" si="3"/>
        <v>0.72</v>
      </c>
      <c r="K39" s="160"/>
      <c r="L39" s="160"/>
    </row>
    <row r="40" spans="1:12" s="155" customFormat="1" ht="15.75">
      <c r="A40" s="156" t="s">
        <v>338</v>
      </c>
      <c r="B40" s="157" t="s">
        <v>337</v>
      </c>
      <c r="C40" s="158" t="s">
        <v>82</v>
      </c>
      <c r="D40" s="159">
        <v>1</v>
      </c>
      <c r="E40" s="159">
        <v>5000</v>
      </c>
      <c r="F40" s="159">
        <f t="shared" si="4"/>
        <v>5000</v>
      </c>
      <c r="G40" s="159">
        <f t="shared" si="1"/>
        <v>2000</v>
      </c>
      <c r="H40" s="160">
        <f t="shared" si="2"/>
        <v>0.8</v>
      </c>
      <c r="I40" s="161">
        <v>2</v>
      </c>
      <c r="J40" s="160">
        <f t="shared" si="3"/>
        <v>0.4</v>
      </c>
      <c r="K40" s="160"/>
      <c r="L40" s="160"/>
    </row>
    <row r="41" spans="1:12" s="155" customFormat="1" ht="15.75">
      <c r="A41" s="156" t="s">
        <v>339</v>
      </c>
      <c r="B41" s="168" t="s">
        <v>287</v>
      </c>
      <c r="C41" s="169" t="s">
        <v>96</v>
      </c>
      <c r="D41" s="159">
        <v>1</v>
      </c>
      <c r="E41" s="159">
        <v>2900</v>
      </c>
      <c r="F41" s="159">
        <f t="shared" si="4"/>
        <v>2900</v>
      </c>
      <c r="G41" s="159">
        <f t="shared" si="1"/>
        <v>1160</v>
      </c>
      <c r="H41" s="160">
        <f t="shared" si="2"/>
        <v>0.46400000000000002</v>
      </c>
      <c r="I41" s="161">
        <v>2</v>
      </c>
      <c r="J41" s="160">
        <f t="shared" si="3"/>
        <v>0.23200000000000001</v>
      </c>
      <c r="K41" s="160"/>
      <c r="L41" s="160"/>
    </row>
    <row r="42" spans="1:12" s="155" customFormat="1" ht="15.75">
      <c r="A42" s="170" t="s">
        <v>340</v>
      </c>
      <c r="B42" s="178" t="s">
        <v>341</v>
      </c>
      <c r="C42" s="158" t="s">
        <v>82</v>
      </c>
      <c r="D42" s="174">
        <v>4</v>
      </c>
      <c r="E42" s="174">
        <v>1500</v>
      </c>
      <c r="F42" s="159">
        <f t="shared" si="4"/>
        <v>6000</v>
      </c>
      <c r="G42" s="159">
        <f t="shared" si="1"/>
        <v>2400</v>
      </c>
      <c r="H42" s="160">
        <f t="shared" si="2"/>
        <v>0.96</v>
      </c>
      <c r="I42" s="161">
        <v>2</v>
      </c>
      <c r="J42" s="160">
        <f t="shared" si="3"/>
        <v>0.48</v>
      </c>
      <c r="K42" s="160"/>
      <c r="L42" s="160"/>
    </row>
    <row r="43" spans="1:12" s="155" customFormat="1" ht="15.75">
      <c r="A43" s="150" t="s">
        <v>126</v>
      </c>
      <c r="B43" s="179" t="s">
        <v>127</v>
      </c>
      <c r="C43" s="180"/>
      <c r="D43" s="153"/>
      <c r="E43" s="153"/>
      <c r="F43" s="153"/>
      <c r="G43" s="159">
        <f t="shared" si="1"/>
        <v>0</v>
      </c>
      <c r="H43" s="160">
        <f t="shared" si="2"/>
        <v>0</v>
      </c>
      <c r="I43" s="161">
        <v>2</v>
      </c>
      <c r="J43" s="160">
        <f t="shared" si="3"/>
        <v>0</v>
      </c>
      <c r="K43" s="160"/>
      <c r="L43" s="160"/>
    </row>
    <row r="44" spans="1:12" ht="15.75">
      <c r="A44" s="17" t="s">
        <v>128</v>
      </c>
      <c r="B44" s="18" t="s">
        <v>342</v>
      </c>
      <c r="C44" s="27" t="s">
        <v>89</v>
      </c>
      <c r="D44" s="21">
        <v>60</v>
      </c>
      <c r="E44" s="21">
        <v>1050</v>
      </c>
      <c r="F44" s="21">
        <f t="shared" ref="F44:F49" si="5">D44*E44</f>
        <v>63000</v>
      </c>
      <c r="G44" s="21">
        <f t="shared" si="1"/>
        <v>25200</v>
      </c>
      <c r="H44" s="145">
        <f t="shared" si="2"/>
        <v>10.08</v>
      </c>
      <c r="I44" s="146">
        <v>2</v>
      </c>
      <c r="J44" s="145">
        <f t="shared" si="3"/>
        <v>5.04</v>
      </c>
      <c r="K44" s="145">
        <v>2</v>
      </c>
      <c r="L44" s="145"/>
    </row>
    <row r="45" spans="1:12" ht="15.75">
      <c r="A45" s="17" t="s">
        <v>129</v>
      </c>
      <c r="B45" s="18" t="s">
        <v>346</v>
      </c>
      <c r="C45" s="27" t="s">
        <v>89</v>
      </c>
      <c r="D45" s="21">
        <v>29</v>
      </c>
      <c r="E45" s="21">
        <v>1050</v>
      </c>
      <c r="F45" s="21">
        <f t="shared" si="5"/>
        <v>30450</v>
      </c>
      <c r="G45" s="21">
        <f t="shared" si="1"/>
        <v>12180</v>
      </c>
      <c r="H45" s="145">
        <f t="shared" si="2"/>
        <v>4.8719999999999999</v>
      </c>
      <c r="I45" s="146">
        <v>2</v>
      </c>
      <c r="J45" s="145">
        <f t="shared" si="3"/>
        <v>2.4359999999999999</v>
      </c>
      <c r="K45" s="145">
        <v>3</v>
      </c>
      <c r="L45" s="145"/>
    </row>
    <row r="46" spans="1:12" ht="15.75">
      <c r="A46" s="17" t="s">
        <v>131</v>
      </c>
      <c r="B46" s="18" t="s">
        <v>347</v>
      </c>
      <c r="C46" s="27" t="s">
        <v>58</v>
      </c>
      <c r="D46" s="21">
        <v>195</v>
      </c>
      <c r="E46" s="21">
        <v>120</v>
      </c>
      <c r="F46" s="21">
        <f t="shared" si="5"/>
        <v>23400</v>
      </c>
      <c r="G46" s="21">
        <f t="shared" si="1"/>
        <v>9360</v>
      </c>
      <c r="H46" s="145">
        <f t="shared" si="2"/>
        <v>3.7440000000000002</v>
      </c>
      <c r="I46" s="146">
        <v>2</v>
      </c>
      <c r="J46" s="145">
        <f t="shared" si="3"/>
        <v>1.8720000000000001</v>
      </c>
      <c r="K46" s="145">
        <v>3</v>
      </c>
      <c r="L46" s="145"/>
    </row>
    <row r="47" spans="1:12" ht="15.75">
      <c r="A47" s="17" t="s">
        <v>133</v>
      </c>
      <c r="B47" s="18" t="s">
        <v>130</v>
      </c>
      <c r="C47" s="27" t="s">
        <v>58</v>
      </c>
      <c r="D47" s="21">
        <v>195</v>
      </c>
      <c r="E47" s="21">
        <v>150</v>
      </c>
      <c r="F47" s="21">
        <f t="shared" si="5"/>
        <v>29250</v>
      </c>
      <c r="G47" s="21">
        <f t="shared" si="1"/>
        <v>11700</v>
      </c>
      <c r="H47" s="145">
        <f t="shared" si="2"/>
        <v>4.68</v>
      </c>
      <c r="I47" s="146">
        <v>2</v>
      </c>
      <c r="J47" s="145">
        <f t="shared" si="3"/>
        <v>2.34</v>
      </c>
      <c r="K47" s="145">
        <v>2</v>
      </c>
      <c r="L47" s="145"/>
    </row>
    <row r="48" spans="1:12" ht="15.75">
      <c r="A48" s="17" t="s">
        <v>348</v>
      </c>
      <c r="B48" s="18" t="s">
        <v>132</v>
      </c>
      <c r="C48" s="27" t="s">
        <v>58</v>
      </c>
      <c r="D48" s="21">
        <v>195.84</v>
      </c>
      <c r="E48" s="21">
        <v>170</v>
      </c>
      <c r="F48" s="21">
        <f t="shared" si="5"/>
        <v>33292.800000000003</v>
      </c>
      <c r="G48" s="21">
        <f t="shared" si="1"/>
        <v>13317.120000000003</v>
      </c>
      <c r="H48" s="145">
        <f t="shared" si="2"/>
        <v>5.3268480000000009</v>
      </c>
      <c r="I48" s="146">
        <v>2</v>
      </c>
      <c r="J48" s="145">
        <f t="shared" si="3"/>
        <v>2.6634240000000005</v>
      </c>
      <c r="K48" s="145">
        <v>2</v>
      </c>
      <c r="L48" s="145"/>
    </row>
    <row r="49" spans="1:12" ht="15.75">
      <c r="A49" s="17" t="s">
        <v>349</v>
      </c>
      <c r="B49" s="18" t="s">
        <v>134</v>
      </c>
      <c r="C49" s="27" t="s">
        <v>58</v>
      </c>
      <c r="D49" s="21">
        <v>196</v>
      </c>
      <c r="E49" s="21">
        <v>750</v>
      </c>
      <c r="F49" s="21">
        <f t="shared" si="5"/>
        <v>147000</v>
      </c>
      <c r="G49" s="21">
        <f t="shared" si="1"/>
        <v>58800</v>
      </c>
      <c r="H49" s="145">
        <f t="shared" si="2"/>
        <v>23.52</v>
      </c>
      <c r="I49" s="146">
        <v>2</v>
      </c>
      <c r="J49" s="145">
        <f t="shared" si="3"/>
        <v>11.76</v>
      </c>
      <c r="K49" s="145"/>
      <c r="L49" s="145"/>
    </row>
    <row r="50" spans="1:12" ht="15.75">
      <c r="A50" s="12" t="s">
        <v>136</v>
      </c>
      <c r="B50" s="24" t="s">
        <v>137</v>
      </c>
      <c r="C50" s="26"/>
      <c r="D50" s="15"/>
      <c r="E50" s="15"/>
      <c r="F50" s="15"/>
      <c r="G50" s="21">
        <f t="shared" si="1"/>
        <v>0</v>
      </c>
      <c r="H50" s="145">
        <f t="shared" si="2"/>
        <v>0</v>
      </c>
      <c r="I50" s="146">
        <v>2</v>
      </c>
      <c r="J50" s="145">
        <f t="shared" si="3"/>
        <v>0</v>
      </c>
      <c r="K50" s="145"/>
      <c r="L50" s="145"/>
    </row>
    <row r="51" spans="1:12" ht="15.75">
      <c r="A51" s="17" t="s">
        <v>138</v>
      </c>
      <c r="B51" s="18" t="s">
        <v>139</v>
      </c>
      <c r="C51" s="28" t="s">
        <v>135</v>
      </c>
      <c r="D51" s="21">
        <v>195.84</v>
      </c>
      <c r="E51" s="21">
        <v>370</v>
      </c>
      <c r="F51" s="21">
        <f>D51*E51</f>
        <v>72460.800000000003</v>
      </c>
      <c r="G51" s="21">
        <f t="shared" si="1"/>
        <v>28984.320000000003</v>
      </c>
      <c r="H51" s="145">
        <f t="shared" si="2"/>
        <v>11.593728</v>
      </c>
      <c r="I51" s="146">
        <v>2</v>
      </c>
      <c r="J51" s="145">
        <f t="shared" si="3"/>
        <v>5.7968640000000002</v>
      </c>
      <c r="K51" s="145">
        <v>1</v>
      </c>
      <c r="L51" s="145"/>
    </row>
    <row r="52" spans="1:12" ht="31.5">
      <c r="A52" s="17" t="s">
        <v>140</v>
      </c>
      <c r="B52" s="18" t="s">
        <v>141</v>
      </c>
      <c r="C52" s="29" t="s">
        <v>58</v>
      </c>
      <c r="D52" s="21">
        <v>18.72</v>
      </c>
      <c r="E52" s="21">
        <v>350</v>
      </c>
      <c r="F52" s="21">
        <f>D52*E52</f>
        <v>6552</v>
      </c>
      <c r="G52" s="21">
        <f t="shared" si="1"/>
        <v>2620.8000000000002</v>
      </c>
      <c r="H52" s="145">
        <f t="shared" si="2"/>
        <v>1.0483200000000001</v>
      </c>
      <c r="I52" s="146">
        <v>2</v>
      </c>
      <c r="J52" s="145">
        <f t="shared" si="3"/>
        <v>0.52416000000000007</v>
      </c>
      <c r="K52" s="145">
        <v>1</v>
      </c>
      <c r="L52" s="145"/>
    </row>
    <row r="53" spans="1:12" ht="15.75">
      <c r="A53" s="17" t="s">
        <v>142</v>
      </c>
      <c r="B53" s="18" t="s">
        <v>143</v>
      </c>
      <c r="C53" s="27" t="s">
        <v>144</v>
      </c>
      <c r="D53" s="21">
        <v>60.88</v>
      </c>
      <c r="E53" s="21">
        <v>150</v>
      </c>
      <c r="F53" s="21">
        <f>D53*E53</f>
        <v>9132</v>
      </c>
      <c r="G53" s="21">
        <f t="shared" si="1"/>
        <v>3652.8</v>
      </c>
      <c r="H53" s="145">
        <f t="shared" si="2"/>
        <v>1.46112</v>
      </c>
      <c r="I53" s="146">
        <v>2</v>
      </c>
      <c r="J53" s="145">
        <f t="shared" si="3"/>
        <v>0.73055999999999999</v>
      </c>
      <c r="K53" s="145"/>
      <c r="L53" s="145"/>
    </row>
    <row r="54" spans="1:12" ht="15.75">
      <c r="A54" s="17" t="s">
        <v>145</v>
      </c>
      <c r="B54" s="18" t="s">
        <v>146</v>
      </c>
      <c r="C54" s="27" t="s">
        <v>58</v>
      </c>
      <c r="D54" s="21">
        <v>195.84</v>
      </c>
      <c r="E54" s="21">
        <v>250</v>
      </c>
      <c r="F54" s="21">
        <f>D54*E54</f>
        <v>48960</v>
      </c>
      <c r="G54" s="21">
        <f t="shared" si="1"/>
        <v>19584</v>
      </c>
      <c r="H54" s="145">
        <f t="shared" si="2"/>
        <v>7.8335999999999997</v>
      </c>
      <c r="I54" s="146">
        <v>2</v>
      </c>
      <c r="J54" s="145">
        <f t="shared" si="3"/>
        <v>3.9167999999999998</v>
      </c>
      <c r="K54" s="145"/>
      <c r="L54" s="145"/>
    </row>
    <row r="55" spans="1:12" ht="15.75">
      <c r="A55" s="12" t="s">
        <v>147</v>
      </c>
      <c r="B55" s="24" t="s">
        <v>148</v>
      </c>
      <c r="C55" s="30"/>
      <c r="D55" s="15"/>
      <c r="E55" s="15"/>
      <c r="F55" s="15"/>
      <c r="G55" s="21">
        <f t="shared" si="1"/>
        <v>0</v>
      </c>
      <c r="H55" s="145">
        <f t="shared" si="2"/>
        <v>0</v>
      </c>
      <c r="I55" s="146">
        <v>2</v>
      </c>
      <c r="J55" s="145">
        <f t="shared" si="3"/>
        <v>0</v>
      </c>
      <c r="K55" s="145"/>
      <c r="L55" s="145"/>
    </row>
    <row r="56" spans="1:12" ht="15.75">
      <c r="A56" s="17" t="s">
        <v>149</v>
      </c>
      <c r="B56" s="18" t="s">
        <v>150</v>
      </c>
      <c r="C56" s="22" t="s">
        <v>82</v>
      </c>
      <c r="D56" s="21">
        <v>1</v>
      </c>
      <c r="E56" s="21">
        <v>5000</v>
      </c>
      <c r="F56" s="21">
        <f>D56*E56</f>
        <v>5000</v>
      </c>
      <c r="G56" s="21">
        <f t="shared" si="1"/>
        <v>2000</v>
      </c>
      <c r="H56" s="145">
        <f t="shared" si="2"/>
        <v>0.8</v>
      </c>
      <c r="I56" s="146">
        <v>2</v>
      </c>
      <c r="J56" s="145">
        <f t="shared" si="3"/>
        <v>0.4</v>
      </c>
      <c r="K56" s="145">
        <v>1</v>
      </c>
      <c r="L56" s="145"/>
    </row>
    <row r="57" spans="1:12" ht="15.75">
      <c r="A57" s="12" t="s">
        <v>151</v>
      </c>
      <c r="B57" s="24" t="s">
        <v>152</v>
      </c>
      <c r="C57" s="26"/>
      <c r="D57" s="15"/>
      <c r="E57" s="15"/>
      <c r="F57" s="15"/>
      <c r="G57" s="21">
        <f t="shared" si="1"/>
        <v>0</v>
      </c>
      <c r="H57" s="145">
        <f t="shared" si="2"/>
        <v>0</v>
      </c>
      <c r="I57" s="146">
        <v>2</v>
      </c>
      <c r="J57" s="145">
        <f t="shared" si="3"/>
        <v>0</v>
      </c>
      <c r="K57" s="145"/>
      <c r="L57" s="145"/>
    </row>
    <row r="58" spans="1:12" ht="15.75">
      <c r="A58" s="17" t="s">
        <v>153</v>
      </c>
      <c r="B58" s="18" t="s">
        <v>154</v>
      </c>
      <c r="C58" s="22" t="s">
        <v>144</v>
      </c>
      <c r="D58" s="21">
        <v>1055</v>
      </c>
      <c r="E58" s="21">
        <v>180</v>
      </c>
      <c r="F58" s="21">
        <f t="shared" ref="F58:F64" si="6">D58*E58</f>
        <v>189900</v>
      </c>
      <c r="G58" s="21">
        <f t="shared" si="1"/>
        <v>75960</v>
      </c>
      <c r="H58" s="145">
        <f t="shared" si="2"/>
        <v>30.384</v>
      </c>
      <c r="I58" s="146">
        <v>2</v>
      </c>
      <c r="J58" s="145">
        <f t="shared" si="3"/>
        <v>15.192</v>
      </c>
      <c r="K58" s="145"/>
      <c r="L58" s="145"/>
    </row>
    <row r="59" spans="1:12" ht="31.5">
      <c r="A59" s="17" t="s">
        <v>155</v>
      </c>
      <c r="B59" s="18" t="s">
        <v>156</v>
      </c>
      <c r="C59" s="22" t="s">
        <v>96</v>
      </c>
      <c r="D59" s="21">
        <v>40</v>
      </c>
      <c r="E59" s="31">
        <v>750</v>
      </c>
      <c r="F59" s="31">
        <f t="shared" si="6"/>
        <v>30000</v>
      </c>
      <c r="G59" s="21">
        <f t="shared" si="1"/>
        <v>12000</v>
      </c>
      <c r="H59" s="145">
        <f t="shared" si="2"/>
        <v>4.8</v>
      </c>
      <c r="I59" s="146">
        <v>2</v>
      </c>
      <c r="J59" s="145">
        <f t="shared" si="3"/>
        <v>2.4</v>
      </c>
      <c r="K59" s="145"/>
      <c r="L59" s="145"/>
    </row>
    <row r="60" spans="1:12" ht="15.75">
      <c r="A60" s="17" t="s">
        <v>157</v>
      </c>
      <c r="B60" s="18" t="s">
        <v>158</v>
      </c>
      <c r="C60" s="22" t="s">
        <v>96</v>
      </c>
      <c r="D60" s="21">
        <v>8</v>
      </c>
      <c r="E60" s="31">
        <v>2000</v>
      </c>
      <c r="F60" s="31">
        <f t="shared" si="6"/>
        <v>16000</v>
      </c>
      <c r="G60" s="21">
        <f t="shared" si="1"/>
        <v>6400</v>
      </c>
      <c r="H60" s="145">
        <f t="shared" si="2"/>
        <v>2.56</v>
      </c>
      <c r="I60" s="146">
        <v>2</v>
      </c>
      <c r="J60" s="145">
        <f t="shared" si="3"/>
        <v>1.28</v>
      </c>
      <c r="K60" s="145"/>
      <c r="L60" s="145"/>
    </row>
    <row r="61" spans="1:12" ht="15.75">
      <c r="A61" s="17" t="s">
        <v>159</v>
      </c>
      <c r="B61" s="18" t="s">
        <v>160</v>
      </c>
      <c r="C61" s="22" t="s">
        <v>96</v>
      </c>
      <c r="D61" s="21">
        <v>8</v>
      </c>
      <c r="E61" s="31">
        <v>420</v>
      </c>
      <c r="F61" s="31">
        <f t="shared" si="6"/>
        <v>3360</v>
      </c>
      <c r="G61" s="21">
        <f t="shared" si="1"/>
        <v>1344</v>
      </c>
      <c r="H61" s="145">
        <f t="shared" si="2"/>
        <v>0.53759999999999997</v>
      </c>
      <c r="I61" s="146">
        <v>2</v>
      </c>
      <c r="J61" s="145">
        <f t="shared" si="3"/>
        <v>0.26879999999999998</v>
      </c>
      <c r="K61" s="145"/>
      <c r="L61" s="145"/>
    </row>
    <row r="62" spans="1:12" ht="15.75">
      <c r="A62" s="17" t="s">
        <v>161</v>
      </c>
      <c r="B62" s="18" t="s">
        <v>162</v>
      </c>
      <c r="C62" s="22" t="s">
        <v>96</v>
      </c>
      <c r="D62" s="21">
        <v>8</v>
      </c>
      <c r="E62" s="31">
        <v>800</v>
      </c>
      <c r="F62" s="31">
        <f t="shared" si="6"/>
        <v>6400</v>
      </c>
      <c r="G62" s="21">
        <f t="shared" si="1"/>
        <v>2560</v>
      </c>
      <c r="H62" s="145">
        <f t="shared" si="2"/>
        <v>1.024</v>
      </c>
      <c r="I62" s="146">
        <v>2</v>
      </c>
      <c r="J62" s="145">
        <f t="shared" si="3"/>
        <v>0.51200000000000001</v>
      </c>
      <c r="K62" s="145"/>
      <c r="L62" s="145"/>
    </row>
    <row r="63" spans="1:12" ht="15.75">
      <c r="A63" s="17" t="s">
        <v>163</v>
      </c>
      <c r="B63" s="18" t="s">
        <v>164</v>
      </c>
      <c r="C63" s="22" t="s">
        <v>96</v>
      </c>
      <c r="D63" s="21">
        <v>48</v>
      </c>
      <c r="E63" s="31">
        <v>700</v>
      </c>
      <c r="F63" s="31">
        <f t="shared" si="6"/>
        <v>33600</v>
      </c>
      <c r="G63" s="21">
        <f t="shared" si="1"/>
        <v>13440</v>
      </c>
      <c r="H63" s="145">
        <f t="shared" si="2"/>
        <v>5.3760000000000003</v>
      </c>
      <c r="I63" s="146">
        <v>2</v>
      </c>
      <c r="J63" s="145">
        <f t="shared" si="3"/>
        <v>2.6880000000000002</v>
      </c>
      <c r="K63" s="145"/>
      <c r="L63" s="145"/>
    </row>
    <row r="64" spans="1:12" ht="15.75">
      <c r="A64" s="17" t="s">
        <v>165</v>
      </c>
      <c r="B64" s="18" t="s">
        <v>166</v>
      </c>
      <c r="C64" s="22" t="s">
        <v>96</v>
      </c>
      <c r="D64" s="21">
        <v>64</v>
      </c>
      <c r="E64" s="31">
        <v>200</v>
      </c>
      <c r="F64" s="31">
        <f t="shared" si="6"/>
        <v>12800</v>
      </c>
      <c r="G64" s="21">
        <f t="shared" si="1"/>
        <v>5120</v>
      </c>
      <c r="H64" s="145">
        <f t="shared" si="2"/>
        <v>2.048</v>
      </c>
      <c r="I64" s="146">
        <v>2</v>
      </c>
      <c r="J64" s="145">
        <f t="shared" si="3"/>
        <v>1.024</v>
      </c>
      <c r="K64" s="145"/>
      <c r="L64" s="145"/>
    </row>
    <row r="65" spans="1:12" ht="15.75">
      <c r="A65" s="12" t="s">
        <v>21</v>
      </c>
      <c r="B65" s="24" t="s">
        <v>167</v>
      </c>
      <c r="C65" s="26"/>
      <c r="D65" s="15"/>
      <c r="E65" s="15"/>
      <c r="F65" s="15"/>
      <c r="G65" s="21">
        <f t="shared" si="1"/>
        <v>0</v>
      </c>
      <c r="H65" s="145">
        <f t="shared" si="2"/>
        <v>0</v>
      </c>
      <c r="I65" s="146">
        <v>2</v>
      </c>
      <c r="J65" s="145">
        <f t="shared" si="3"/>
        <v>0</v>
      </c>
      <c r="K65" s="145"/>
      <c r="L65" s="145"/>
    </row>
    <row r="66" spans="1:12" ht="15.75">
      <c r="A66" s="12" t="s">
        <v>168</v>
      </c>
      <c r="B66" s="24" t="s">
        <v>169</v>
      </c>
      <c r="C66" s="26"/>
      <c r="D66" s="15"/>
      <c r="E66" s="32"/>
      <c r="F66" s="32"/>
      <c r="G66" s="21">
        <f t="shared" si="1"/>
        <v>0</v>
      </c>
      <c r="H66" s="145">
        <f t="shared" si="2"/>
        <v>0</v>
      </c>
      <c r="I66" s="146">
        <v>2</v>
      </c>
      <c r="J66" s="145">
        <f t="shared" si="3"/>
        <v>0</v>
      </c>
      <c r="K66" s="145"/>
      <c r="L66" s="145"/>
    </row>
    <row r="67" spans="1:12" ht="15.75">
      <c r="A67" s="17" t="s">
        <v>170</v>
      </c>
      <c r="B67" s="18" t="s">
        <v>171</v>
      </c>
      <c r="C67" s="22" t="s">
        <v>67</v>
      </c>
      <c r="D67" s="21">
        <v>55</v>
      </c>
      <c r="E67" s="31">
        <v>400</v>
      </c>
      <c r="F67" s="31">
        <f>D67*E67</f>
        <v>22000</v>
      </c>
      <c r="G67" s="21">
        <f t="shared" si="1"/>
        <v>8800</v>
      </c>
      <c r="H67" s="145">
        <f t="shared" si="2"/>
        <v>3.52</v>
      </c>
      <c r="I67" s="146">
        <v>2</v>
      </c>
      <c r="J67" s="145">
        <f t="shared" si="3"/>
        <v>1.76</v>
      </c>
      <c r="K67" s="145"/>
      <c r="L67" s="145"/>
    </row>
    <row r="68" spans="1:12" s="138" customFormat="1" ht="15.75">
      <c r="A68" s="139"/>
      <c r="B68" s="140" t="s">
        <v>354</v>
      </c>
      <c r="C68" s="60" t="s">
        <v>72</v>
      </c>
      <c r="D68" s="64">
        <v>8</v>
      </c>
      <c r="E68" s="149">
        <v>1000</v>
      </c>
      <c r="F68" s="31">
        <f>D68*E68</f>
        <v>8000</v>
      </c>
      <c r="G68" s="21">
        <f t="shared" ref="G68:G119" si="7">F68*40%</f>
        <v>3200</v>
      </c>
      <c r="H68" s="145">
        <f t="shared" si="2"/>
        <v>1.28</v>
      </c>
      <c r="I68" s="146">
        <v>2</v>
      </c>
      <c r="J68" s="145">
        <f t="shared" si="3"/>
        <v>0.64</v>
      </c>
      <c r="K68" s="145"/>
      <c r="L68" s="145"/>
    </row>
    <row r="69" spans="1:12" ht="15.75">
      <c r="A69" s="12" t="s">
        <v>172</v>
      </c>
      <c r="B69" s="13" t="s">
        <v>173</v>
      </c>
      <c r="C69" s="14"/>
      <c r="D69" s="15"/>
      <c r="E69" s="32"/>
      <c r="F69" s="32"/>
      <c r="G69" s="21">
        <f t="shared" si="7"/>
        <v>0</v>
      </c>
      <c r="H69" s="145">
        <f t="shared" ref="H69:H119" si="8">G69/2500</f>
        <v>0</v>
      </c>
      <c r="I69" s="146">
        <v>2</v>
      </c>
      <c r="J69" s="145">
        <f t="shared" ref="J69:J119" si="9">H69/I69</f>
        <v>0</v>
      </c>
      <c r="K69" s="145"/>
      <c r="L69" s="145"/>
    </row>
    <row r="70" spans="1:12" ht="31.5">
      <c r="A70" s="17" t="s">
        <v>174</v>
      </c>
      <c r="B70" s="18" t="s">
        <v>175</v>
      </c>
      <c r="C70" s="19" t="s">
        <v>58</v>
      </c>
      <c r="D70" s="21">
        <v>355.44</v>
      </c>
      <c r="E70" s="31">
        <v>580</v>
      </c>
      <c r="F70" s="31">
        <f>D70*E70</f>
        <v>206155.2</v>
      </c>
      <c r="G70" s="21">
        <f t="shared" si="7"/>
        <v>82462.080000000016</v>
      </c>
      <c r="H70" s="145">
        <f t="shared" si="8"/>
        <v>32.984832000000004</v>
      </c>
      <c r="I70" s="146">
        <v>2</v>
      </c>
      <c r="J70" s="145">
        <f t="shared" si="9"/>
        <v>16.492416000000002</v>
      </c>
      <c r="K70" s="145">
        <v>16</v>
      </c>
      <c r="L70" s="145"/>
    </row>
    <row r="71" spans="1:12" ht="15.75">
      <c r="A71" s="12" t="s">
        <v>176</v>
      </c>
      <c r="B71" s="13" t="s">
        <v>177</v>
      </c>
      <c r="C71" s="14"/>
      <c r="D71" s="15"/>
      <c r="E71" s="32"/>
      <c r="F71" s="32"/>
      <c r="G71" s="21">
        <f t="shared" si="7"/>
        <v>0</v>
      </c>
      <c r="H71" s="145">
        <f t="shared" si="8"/>
        <v>0</v>
      </c>
      <c r="I71" s="146">
        <v>2</v>
      </c>
      <c r="J71" s="145">
        <f t="shared" si="9"/>
        <v>0</v>
      </c>
      <c r="K71" s="145"/>
      <c r="L71" s="145"/>
    </row>
    <row r="72" spans="1:12" ht="31.5">
      <c r="A72" s="17" t="s">
        <v>178</v>
      </c>
      <c r="B72" s="18" t="s">
        <v>179</v>
      </c>
      <c r="C72" s="19" t="s">
        <v>58</v>
      </c>
      <c r="D72" s="21">
        <v>205</v>
      </c>
      <c r="E72" s="31">
        <v>580</v>
      </c>
      <c r="F72" s="31">
        <f>D72*E72</f>
        <v>118900</v>
      </c>
      <c r="G72" s="21">
        <f t="shared" si="7"/>
        <v>47560</v>
      </c>
      <c r="H72" s="145">
        <f t="shared" si="8"/>
        <v>19.024000000000001</v>
      </c>
      <c r="I72" s="146">
        <v>2</v>
      </c>
      <c r="J72" s="145">
        <f t="shared" si="9"/>
        <v>9.5120000000000005</v>
      </c>
      <c r="K72" s="145">
        <v>10</v>
      </c>
      <c r="L72" s="145"/>
    </row>
    <row r="73" spans="1:12" ht="15.75">
      <c r="A73" s="17" t="s">
        <v>180</v>
      </c>
      <c r="B73" s="18" t="s">
        <v>181</v>
      </c>
      <c r="C73" s="19" t="s">
        <v>58</v>
      </c>
      <c r="D73" s="21">
        <v>16</v>
      </c>
      <c r="E73" s="31">
        <v>150</v>
      </c>
      <c r="F73" s="31">
        <f>D73*E73</f>
        <v>2400</v>
      </c>
      <c r="G73" s="21">
        <f t="shared" si="7"/>
        <v>960</v>
      </c>
      <c r="H73" s="145">
        <f t="shared" si="8"/>
        <v>0.38400000000000001</v>
      </c>
      <c r="I73" s="146">
        <v>2</v>
      </c>
      <c r="J73" s="145">
        <f t="shared" si="9"/>
        <v>0.192</v>
      </c>
      <c r="K73" s="145"/>
      <c r="L73" s="145"/>
    </row>
    <row r="74" spans="1:12" ht="15.75">
      <c r="A74" s="12" t="s">
        <v>182</v>
      </c>
      <c r="B74" s="24" t="s">
        <v>183</v>
      </c>
      <c r="C74" s="26"/>
      <c r="D74" s="15"/>
      <c r="E74" s="32"/>
      <c r="F74" s="32"/>
      <c r="G74" s="21">
        <f t="shared" si="7"/>
        <v>0</v>
      </c>
      <c r="H74" s="145">
        <f t="shared" si="8"/>
        <v>0</v>
      </c>
      <c r="I74" s="146">
        <v>2</v>
      </c>
      <c r="J74" s="145">
        <f t="shared" si="9"/>
        <v>0</v>
      </c>
      <c r="K74" s="145"/>
      <c r="L74" s="145"/>
    </row>
    <row r="75" spans="1:12" ht="15.75">
      <c r="A75" s="17" t="s">
        <v>184</v>
      </c>
      <c r="B75" s="18" t="s">
        <v>185</v>
      </c>
      <c r="C75" s="19" t="s">
        <v>58</v>
      </c>
      <c r="D75" s="21">
        <v>154</v>
      </c>
      <c r="E75" s="31">
        <v>900</v>
      </c>
      <c r="F75" s="31">
        <f>D75*E75</f>
        <v>138600</v>
      </c>
      <c r="G75" s="21">
        <f t="shared" si="7"/>
        <v>55440</v>
      </c>
      <c r="H75" s="145">
        <f t="shared" si="8"/>
        <v>22.175999999999998</v>
      </c>
      <c r="I75" s="146">
        <v>2</v>
      </c>
      <c r="J75" s="145">
        <f t="shared" si="9"/>
        <v>11.087999999999999</v>
      </c>
      <c r="K75" s="145">
        <v>10</v>
      </c>
      <c r="L75" s="145"/>
    </row>
    <row r="76" spans="1:12" ht="15.75">
      <c r="A76" s="12" t="s">
        <v>186</v>
      </c>
      <c r="B76" s="24" t="s">
        <v>187</v>
      </c>
      <c r="C76" s="26"/>
      <c r="D76" s="15"/>
      <c r="E76" s="32"/>
      <c r="F76" s="32"/>
      <c r="G76" s="21">
        <f t="shared" si="7"/>
        <v>0</v>
      </c>
      <c r="H76" s="145">
        <f t="shared" si="8"/>
        <v>0</v>
      </c>
      <c r="I76" s="146">
        <v>2</v>
      </c>
      <c r="J76" s="145">
        <f t="shared" si="9"/>
        <v>0</v>
      </c>
      <c r="K76" s="145"/>
      <c r="L76" s="145"/>
    </row>
    <row r="77" spans="1:12" ht="15.75">
      <c r="A77" s="17" t="s">
        <v>188</v>
      </c>
      <c r="B77" s="18" t="s">
        <v>189</v>
      </c>
      <c r="C77" s="19" t="s">
        <v>58</v>
      </c>
      <c r="D77" s="21">
        <v>154</v>
      </c>
      <c r="E77" s="31">
        <v>90</v>
      </c>
      <c r="F77" s="31">
        <f>D77*E77</f>
        <v>13860</v>
      </c>
      <c r="G77" s="21">
        <f t="shared" si="7"/>
        <v>5544</v>
      </c>
      <c r="H77" s="145">
        <f t="shared" si="8"/>
        <v>2.2176</v>
      </c>
      <c r="I77" s="146">
        <v>2</v>
      </c>
      <c r="J77" s="145">
        <f t="shared" si="9"/>
        <v>1.1088</v>
      </c>
      <c r="K77" s="145">
        <v>1</v>
      </c>
      <c r="L77" s="145"/>
    </row>
    <row r="78" spans="1:12" ht="15.75">
      <c r="A78" s="17" t="s">
        <v>190</v>
      </c>
      <c r="B78" s="18" t="s">
        <v>191</v>
      </c>
      <c r="C78" s="19" t="s">
        <v>58</v>
      </c>
      <c r="D78" s="21">
        <v>154</v>
      </c>
      <c r="E78" s="31">
        <v>550</v>
      </c>
      <c r="F78" s="31">
        <f>D78*E78</f>
        <v>84700</v>
      </c>
      <c r="G78" s="21">
        <f t="shared" si="7"/>
        <v>33880</v>
      </c>
      <c r="H78" s="145">
        <f t="shared" si="8"/>
        <v>13.552</v>
      </c>
      <c r="I78" s="146">
        <v>2</v>
      </c>
      <c r="J78" s="145">
        <f t="shared" si="9"/>
        <v>6.7759999999999998</v>
      </c>
      <c r="K78" s="145">
        <v>7</v>
      </c>
      <c r="L78" s="145"/>
    </row>
    <row r="79" spans="1:12" ht="15.75">
      <c r="A79" s="12" t="s">
        <v>192</v>
      </c>
      <c r="B79" s="24" t="s">
        <v>193</v>
      </c>
      <c r="C79" s="26"/>
      <c r="D79" s="15"/>
      <c r="E79" s="32"/>
      <c r="F79" s="32"/>
      <c r="G79" s="21">
        <f t="shared" si="7"/>
        <v>0</v>
      </c>
      <c r="H79" s="145">
        <f t="shared" si="8"/>
        <v>0</v>
      </c>
      <c r="I79" s="146">
        <v>2</v>
      </c>
      <c r="J79" s="145">
        <f t="shared" si="9"/>
        <v>0</v>
      </c>
      <c r="K79" s="145"/>
      <c r="L79" s="145"/>
    </row>
    <row r="80" spans="1:12" ht="15.75">
      <c r="A80" s="17" t="s">
        <v>194</v>
      </c>
      <c r="B80" s="18" t="s">
        <v>29</v>
      </c>
      <c r="C80" s="19" t="s">
        <v>82</v>
      </c>
      <c r="D80" s="21">
        <v>1</v>
      </c>
      <c r="E80" s="31">
        <v>40000</v>
      </c>
      <c r="F80" s="31">
        <f>D80*E80</f>
        <v>40000</v>
      </c>
      <c r="G80" s="21">
        <f t="shared" si="7"/>
        <v>16000</v>
      </c>
      <c r="H80" s="145">
        <f t="shared" si="8"/>
        <v>6.4</v>
      </c>
      <c r="I80" s="146">
        <v>2</v>
      </c>
      <c r="J80" s="145">
        <f t="shared" si="9"/>
        <v>3.2</v>
      </c>
      <c r="K80" s="145">
        <v>4</v>
      </c>
      <c r="L80" s="145"/>
    </row>
    <row r="81" spans="1:12" ht="15.75">
      <c r="A81" s="12" t="s">
        <v>195</v>
      </c>
      <c r="B81" s="24" t="s">
        <v>196</v>
      </c>
      <c r="C81" s="25"/>
      <c r="D81" s="15"/>
      <c r="E81" s="32"/>
      <c r="F81" s="32"/>
      <c r="G81" s="21">
        <f t="shared" si="7"/>
        <v>0</v>
      </c>
      <c r="H81" s="145">
        <f t="shared" si="8"/>
        <v>0</v>
      </c>
      <c r="I81" s="146">
        <v>2</v>
      </c>
      <c r="J81" s="145">
        <f t="shared" si="9"/>
        <v>0</v>
      </c>
      <c r="K81" s="145"/>
      <c r="L81" s="145"/>
    </row>
    <row r="82" spans="1:12" ht="15.75">
      <c r="A82" s="17" t="s">
        <v>197</v>
      </c>
      <c r="B82" s="18" t="s">
        <v>30</v>
      </c>
      <c r="C82" s="19" t="s">
        <v>82</v>
      </c>
      <c r="D82" s="21">
        <v>1</v>
      </c>
      <c r="E82" s="31">
        <v>20000</v>
      </c>
      <c r="F82" s="31">
        <f>D82*E82</f>
        <v>20000</v>
      </c>
      <c r="G82" s="21">
        <f t="shared" si="7"/>
        <v>8000</v>
      </c>
      <c r="H82" s="145">
        <f t="shared" si="8"/>
        <v>3.2</v>
      </c>
      <c r="I82" s="146">
        <v>2</v>
      </c>
      <c r="J82" s="145">
        <f t="shared" si="9"/>
        <v>1.6</v>
      </c>
      <c r="K82" s="145">
        <v>2</v>
      </c>
      <c r="L82" s="145"/>
    </row>
    <row r="83" spans="1:12" ht="15.75">
      <c r="A83" s="36" t="s">
        <v>198</v>
      </c>
      <c r="B83" s="37" t="s">
        <v>199</v>
      </c>
      <c r="C83" s="38"/>
      <c r="D83" s="39"/>
      <c r="E83" s="40"/>
      <c r="F83" s="40"/>
      <c r="G83" s="21">
        <f t="shared" si="7"/>
        <v>0</v>
      </c>
      <c r="H83" s="145">
        <f t="shared" si="8"/>
        <v>0</v>
      </c>
      <c r="I83" s="146">
        <v>2</v>
      </c>
      <c r="J83" s="145">
        <f t="shared" si="9"/>
        <v>0</v>
      </c>
      <c r="K83" s="145"/>
      <c r="L83" s="145"/>
    </row>
    <row r="84" spans="1:12" ht="47.25">
      <c r="A84" s="17" t="s">
        <v>200</v>
      </c>
      <c r="B84" s="18" t="s">
        <v>201</v>
      </c>
      <c r="C84" s="19" t="s">
        <v>58</v>
      </c>
      <c r="D84" s="21">
        <v>532</v>
      </c>
      <c r="E84" s="31">
        <v>150</v>
      </c>
      <c r="F84" s="31">
        <f>D84*E84</f>
        <v>79800</v>
      </c>
      <c r="G84" s="21">
        <f t="shared" si="7"/>
        <v>31920</v>
      </c>
      <c r="H84" s="145">
        <f t="shared" si="8"/>
        <v>12.768000000000001</v>
      </c>
      <c r="I84" s="146">
        <v>2</v>
      </c>
      <c r="J84" s="145">
        <f t="shared" si="9"/>
        <v>6.3840000000000003</v>
      </c>
      <c r="K84" s="145">
        <v>4</v>
      </c>
      <c r="L84" s="145"/>
    </row>
    <row r="85" spans="1:12" ht="15.75">
      <c r="A85" s="17" t="s">
        <v>202</v>
      </c>
      <c r="B85" s="18" t="s">
        <v>203</v>
      </c>
      <c r="C85" s="19" t="s">
        <v>58</v>
      </c>
      <c r="D85" s="21">
        <f>D84</f>
        <v>532</v>
      </c>
      <c r="E85" s="31">
        <v>350</v>
      </c>
      <c r="F85" s="31">
        <f>D85*E85</f>
        <v>186200</v>
      </c>
      <c r="G85" s="21">
        <f t="shared" si="7"/>
        <v>74480</v>
      </c>
      <c r="H85" s="145">
        <f t="shared" si="8"/>
        <v>29.792000000000002</v>
      </c>
      <c r="I85" s="146">
        <v>2</v>
      </c>
      <c r="J85" s="145">
        <f t="shared" si="9"/>
        <v>14.896000000000001</v>
      </c>
      <c r="K85" s="145">
        <v>16</v>
      </c>
      <c r="L85" s="145"/>
    </row>
    <row r="86" spans="1:12" ht="15.75">
      <c r="A86" s="17" t="s">
        <v>204</v>
      </c>
      <c r="B86" s="18" t="s">
        <v>205</v>
      </c>
      <c r="C86" s="19" t="s">
        <v>58</v>
      </c>
      <c r="D86" s="21">
        <v>532</v>
      </c>
      <c r="E86" s="31">
        <v>250</v>
      </c>
      <c r="F86" s="31">
        <f>D86*E86</f>
        <v>133000</v>
      </c>
      <c r="G86" s="21">
        <f t="shared" si="7"/>
        <v>53200</v>
      </c>
      <c r="H86" s="145">
        <f t="shared" si="8"/>
        <v>21.28</v>
      </c>
      <c r="I86" s="146">
        <v>2</v>
      </c>
      <c r="J86" s="145">
        <f t="shared" si="9"/>
        <v>10.64</v>
      </c>
      <c r="K86" s="145">
        <v>4</v>
      </c>
      <c r="L86" s="145"/>
    </row>
    <row r="87" spans="1:12" ht="15.75">
      <c r="A87" s="42" t="s">
        <v>206</v>
      </c>
      <c r="B87" s="43" t="s">
        <v>207</v>
      </c>
      <c r="C87" s="44"/>
      <c r="D87" s="45"/>
      <c r="E87" s="46"/>
      <c r="F87" s="46"/>
      <c r="G87" s="21">
        <f t="shared" si="7"/>
        <v>0</v>
      </c>
      <c r="H87" s="145">
        <f t="shared" si="8"/>
        <v>0</v>
      </c>
      <c r="I87" s="146">
        <v>2</v>
      </c>
      <c r="J87" s="145">
        <f t="shared" si="9"/>
        <v>0</v>
      </c>
      <c r="K87" s="145"/>
      <c r="L87" s="145"/>
    </row>
    <row r="88" spans="1:12" ht="15.75">
      <c r="A88" s="17" t="s">
        <v>208</v>
      </c>
      <c r="B88" s="18" t="s">
        <v>209</v>
      </c>
      <c r="C88" s="22" t="s">
        <v>144</v>
      </c>
      <c r="D88" s="21">
        <v>150</v>
      </c>
      <c r="E88" s="31">
        <v>520</v>
      </c>
      <c r="F88" s="31">
        <f>D88*E88</f>
        <v>78000</v>
      </c>
      <c r="G88" s="21">
        <f t="shared" si="7"/>
        <v>31200</v>
      </c>
      <c r="H88" s="145">
        <f t="shared" si="8"/>
        <v>12.48</v>
      </c>
      <c r="I88" s="146">
        <v>2</v>
      </c>
      <c r="J88" s="145">
        <f t="shared" si="9"/>
        <v>6.24</v>
      </c>
      <c r="K88" s="145">
        <v>8</v>
      </c>
      <c r="L88" s="145"/>
    </row>
    <row r="89" spans="1:12" ht="15.75">
      <c r="A89" s="17" t="s">
        <v>210</v>
      </c>
      <c r="B89" s="18" t="s">
        <v>211</v>
      </c>
      <c r="C89" s="22" t="s">
        <v>96</v>
      </c>
      <c r="D89" s="21">
        <v>8</v>
      </c>
      <c r="E89" s="31">
        <v>3500</v>
      </c>
      <c r="F89" s="31">
        <f>D89*E89</f>
        <v>28000</v>
      </c>
      <c r="G89" s="21">
        <f t="shared" si="7"/>
        <v>11200</v>
      </c>
      <c r="H89" s="145">
        <f t="shared" si="8"/>
        <v>4.4800000000000004</v>
      </c>
      <c r="I89" s="146">
        <v>2</v>
      </c>
      <c r="J89" s="145">
        <f t="shared" si="9"/>
        <v>2.2400000000000002</v>
      </c>
      <c r="K89" s="145"/>
      <c r="L89" s="145"/>
    </row>
    <row r="90" spans="1:12" ht="15.75">
      <c r="A90" s="42" t="s">
        <v>212</v>
      </c>
      <c r="B90" s="43" t="s">
        <v>213</v>
      </c>
      <c r="C90" s="44"/>
      <c r="D90" s="45"/>
      <c r="E90" s="46"/>
      <c r="F90" s="46"/>
      <c r="G90" s="21">
        <f t="shared" si="7"/>
        <v>0</v>
      </c>
      <c r="H90" s="145">
        <f t="shared" si="8"/>
        <v>0</v>
      </c>
      <c r="I90" s="146">
        <v>2</v>
      </c>
      <c r="J90" s="145">
        <f t="shared" si="9"/>
        <v>0</v>
      </c>
      <c r="K90" s="145"/>
      <c r="L90" s="145"/>
    </row>
    <row r="91" spans="1:12" ht="31.5">
      <c r="A91" s="17" t="s">
        <v>214</v>
      </c>
      <c r="B91" s="18" t="s">
        <v>215</v>
      </c>
      <c r="C91" s="22" t="s">
        <v>58</v>
      </c>
      <c r="D91" s="21">
        <v>163.5</v>
      </c>
      <c r="E91" s="31">
        <v>1250</v>
      </c>
      <c r="F91" s="31">
        <f>D91*E91</f>
        <v>204375</v>
      </c>
      <c r="G91" s="21">
        <f t="shared" si="7"/>
        <v>81750</v>
      </c>
      <c r="H91" s="145">
        <f t="shared" si="8"/>
        <v>32.700000000000003</v>
      </c>
      <c r="I91" s="146">
        <v>2</v>
      </c>
      <c r="J91" s="145">
        <f t="shared" si="9"/>
        <v>16.350000000000001</v>
      </c>
      <c r="K91" s="145">
        <v>16</v>
      </c>
      <c r="L91" s="145"/>
    </row>
    <row r="92" spans="1:12" ht="15.75">
      <c r="A92" s="42" t="s">
        <v>216</v>
      </c>
      <c r="B92" s="43" t="s">
        <v>217</v>
      </c>
      <c r="C92" s="44"/>
      <c r="D92" s="45"/>
      <c r="E92" s="46"/>
      <c r="F92" s="46"/>
      <c r="G92" s="21">
        <f t="shared" si="7"/>
        <v>0</v>
      </c>
      <c r="H92" s="145">
        <f t="shared" si="8"/>
        <v>0</v>
      </c>
      <c r="I92" s="146">
        <v>2</v>
      </c>
      <c r="J92" s="145">
        <f t="shared" si="9"/>
        <v>0</v>
      </c>
      <c r="K92" s="145"/>
      <c r="L92" s="145"/>
    </row>
    <row r="93" spans="1:12" ht="31.5">
      <c r="A93" s="17" t="s">
        <v>218</v>
      </c>
      <c r="B93" s="18" t="s">
        <v>219</v>
      </c>
      <c r="C93" s="22" t="s">
        <v>58</v>
      </c>
      <c r="D93" s="21">
        <v>62</v>
      </c>
      <c r="E93" s="31">
        <v>1200</v>
      </c>
      <c r="F93" s="31">
        <f>D93*E93</f>
        <v>74400</v>
      </c>
      <c r="G93" s="21">
        <f t="shared" si="7"/>
        <v>29760</v>
      </c>
      <c r="H93" s="145">
        <f t="shared" si="8"/>
        <v>11.904</v>
      </c>
      <c r="I93" s="146">
        <v>2</v>
      </c>
      <c r="J93" s="145">
        <f t="shared" si="9"/>
        <v>5.952</v>
      </c>
      <c r="K93" s="145">
        <v>6</v>
      </c>
      <c r="L93" s="145"/>
    </row>
    <row r="94" spans="1:12" ht="15.75">
      <c r="A94" s="17" t="s">
        <v>220</v>
      </c>
      <c r="B94" s="18" t="s">
        <v>221</v>
      </c>
      <c r="C94" s="22" t="s">
        <v>144</v>
      </c>
      <c r="D94" s="21">
        <v>136</v>
      </c>
      <c r="E94" s="31">
        <v>400</v>
      </c>
      <c r="F94" s="31">
        <f>D94*E94</f>
        <v>54400</v>
      </c>
      <c r="G94" s="21">
        <f t="shared" si="7"/>
        <v>21760</v>
      </c>
      <c r="H94" s="145">
        <f t="shared" si="8"/>
        <v>8.7040000000000006</v>
      </c>
      <c r="I94" s="146">
        <v>2</v>
      </c>
      <c r="J94" s="145">
        <f t="shared" si="9"/>
        <v>4.3520000000000003</v>
      </c>
      <c r="K94" s="145"/>
      <c r="L94" s="145"/>
    </row>
    <row r="95" spans="1:12" ht="15.75">
      <c r="A95" s="42" t="s">
        <v>222</v>
      </c>
      <c r="B95" s="43" t="s">
        <v>223</v>
      </c>
      <c r="C95" s="44"/>
      <c r="D95" s="45"/>
      <c r="E95" s="46"/>
      <c r="F95" s="46"/>
      <c r="G95" s="21">
        <f t="shared" si="7"/>
        <v>0</v>
      </c>
      <c r="H95" s="145">
        <f t="shared" si="8"/>
        <v>0</v>
      </c>
      <c r="I95" s="146">
        <v>2</v>
      </c>
      <c r="J95" s="145">
        <f t="shared" si="9"/>
        <v>0</v>
      </c>
      <c r="K95" s="145"/>
      <c r="L95" s="145"/>
    </row>
    <row r="96" spans="1:12" ht="15.75">
      <c r="A96" s="17" t="s">
        <v>224</v>
      </c>
      <c r="B96" s="18" t="s">
        <v>225</v>
      </c>
      <c r="C96" s="22" t="s">
        <v>58</v>
      </c>
      <c r="D96" s="21">
        <v>27.7</v>
      </c>
      <c r="E96" s="31">
        <v>580</v>
      </c>
      <c r="F96" s="31">
        <f>D96*E96</f>
        <v>16066</v>
      </c>
      <c r="G96" s="21">
        <f t="shared" si="7"/>
        <v>6426.4000000000005</v>
      </c>
      <c r="H96" s="145">
        <f t="shared" si="8"/>
        <v>2.5705600000000004</v>
      </c>
      <c r="I96" s="146">
        <v>2</v>
      </c>
      <c r="J96" s="145">
        <f t="shared" si="9"/>
        <v>1.2852800000000002</v>
      </c>
      <c r="K96" s="145">
        <v>8</v>
      </c>
      <c r="L96" s="145"/>
    </row>
    <row r="97" spans="1:12" ht="15.75">
      <c r="A97" s="12" t="s">
        <v>226</v>
      </c>
      <c r="B97" s="24" t="s">
        <v>227</v>
      </c>
      <c r="C97" s="26"/>
      <c r="D97" s="15"/>
      <c r="E97" s="32"/>
      <c r="F97" s="32"/>
      <c r="G97" s="21">
        <f t="shared" si="7"/>
        <v>0</v>
      </c>
      <c r="H97" s="145">
        <f t="shared" si="8"/>
        <v>0</v>
      </c>
      <c r="I97" s="146">
        <v>2</v>
      </c>
      <c r="J97" s="145">
        <f t="shared" si="9"/>
        <v>0</v>
      </c>
      <c r="K97" s="145"/>
      <c r="L97" s="145"/>
    </row>
    <row r="98" spans="1:12" ht="15.75">
      <c r="A98" s="17" t="s">
        <v>228</v>
      </c>
      <c r="B98" s="18" t="s">
        <v>229</v>
      </c>
      <c r="C98" s="19" t="s">
        <v>58</v>
      </c>
      <c r="D98" s="21">
        <v>154</v>
      </c>
      <c r="E98" s="31">
        <v>350</v>
      </c>
      <c r="F98" s="31">
        <f>D98*E98</f>
        <v>53900</v>
      </c>
      <c r="G98" s="21">
        <f t="shared" si="7"/>
        <v>21560</v>
      </c>
      <c r="H98" s="145">
        <f t="shared" si="8"/>
        <v>8.6240000000000006</v>
      </c>
      <c r="I98" s="146">
        <v>2</v>
      </c>
      <c r="J98" s="145">
        <f t="shared" si="9"/>
        <v>4.3120000000000003</v>
      </c>
      <c r="K98" s="145">
        <v>4</v>
      </c>
      <c r="L98" s="145"/>
    </row>
    <row r="99" spans="1:12" ht="15.75">
      <c r="A99" s="17" t="s">
        <v>230</v>
      </c>
      <c r="B99" s="18" t="s">
        <v>231</v>
      </c>
      <c r="C99" s="19" t="s">
        <v>67</v>
      </c>
      <c r="D99" s="21">
        <v>176</v>
      </c>
      <c r="E99" s="31">
        <v>150</v>
      </c>
      <c r="F99" s="31">
        <f>D99*E99</f>
        <v>26400</v>
      </c>
      <c r="G99" s="21">
        <f t="shared" si="7"/>
        <v>10560</v>
      </c>
      <c r="H99" s="145">
        <f t="shared" si="8"/>
        <v>4.2240000000000002</v>
      </c>
      <c r="I99" s="146">
        <v>2</v>
      </c>
      <c r="J99" s="145">
        <f t="shared" si="9"/>
        <v>2.1120000000000001</v>
      </c>
      <c r="K99" s="145">
        <v>2</v>
      </c>
      <c r="L99" s="145"/>
    </row>
    <row r="100" spans="1:12" ht="15.75">
      <c r="A100" s="12" t="s">
        <v>232</v>
      </c>
      <c r="B100" s="24" t="s">
        <v>233</v>
      </c>
      <c r="C100" s="26"/>
      <c r="D100" s="15"/>
      <c r="E100" s="32"/>
      <c r="F100" s="32"/>
      <c r="G100" s="21">
        <f t="shared" si="7"/>
        <v>0</v>
      </c>
      <c r="H100" s="145">
        <f t="shared" si="8"/>
        <v>0</v>
      </c>
      <c r="I100" s="146">
        <v>2</v>
      </c>
      <c r="J100" s="145">
        <f t="shared" si="9"/>
        <v>0</v>
      </c>
      <c r="K100" s="145"/>
      <c r="L100" s="145"/>
    </row>
    <row r="101" spans="1:12" ht="15.75">
      <c r="A101" s="17" t="s">
        <v>234</v>
      </c>
      <c r="B101" s="18" t="s">
        <v>235</v>
      </c>
      <c r="C101" s="19" t="s">
        <v>58</v>
      </c>
      <c r="D101" s="21">
        <v>384</v>
      </c>
      <c r="E101" s="31">
        <v>300</v>
      </c>
      <c r="F101" s="31">
        <f>D101*E101</f>
        <v>115200</v>
      </c>
      <c r="G101" s="21">
        <f t="shared" si="7"/>
        <v>46080</v>
      </c>
      <c r="H101" s="145">
        <f t="shared" si="8"/>
        <v>18.431999999999999</v>
      </c>
      <c r="I101" s="146">
        <v>2</v>
      </c>
      <c r="J101" s="145">
        <f t="shared" si="9"/>
        <v>9.2159999999999993</v>
      </c>
      <c r="K101" s="145">
        <v>6</v>
      </c>
      <c r="L101" s="145"/>
    </row>
    <row r="102" spans="1:12" ht="15.75">
      <c r="A102" s="17" t="s">
        <v>236</v>
      </c>
      <c r="B102" s="18" t="s">
        <v>237</v>
      </c>
      <c r="C102" s="19" t="s">
        <v>58</v>
      </c>
      <c r="D102" s="21">
        <v>384</v>
      </c>
      <c r="E102" s="31">
        <v>250</v>
      </c>
      <c r="F102" s="31">
        <f>D102*E102</f>
        <v>96000</v>
      </c>
      <c r="G102" s="21">
        <f t="shared" si="7"/>
        <v>38400</v>
      </c>
      <c r="H102" s="145">
        <f t="shared" si="8"/>
        <v>15.36</v>
      </c>
      <c r="I102" s="146">
        <v>2</v>
      </c>
      <c r="J102" s="145">
        <f t="shared" si="9"/>
        <v>7.68</v>
      </c>
      <c r="K102" s="145">
        <v>4</v>
      </c>
      <c r="L102" s="145"/>
    </row>
    <row r="103" spans="1:12" ht="31.5">
      <c r="A103" s="17" t="s">
        <v>238</v>
      </c>
      <c r="B103" s="18" t="s">
        <v>239</v>
      </c>
      <c r="C103" s="19" t="s">
        <v>58</v>
      </c>
      <c r="D103" s="21">
        <v>206</v>
      </c>
      <c r="E103" s="31">
        <v>300</v>
      </c>
      <c r="F103" s="31">
        <f>D103*E103</f>
        <v>61800</v>
      </c>
      <c r="G103" s="21">
        <f t="shared" si="7"/>
        <v>24720</v>
      </c>
      <c r="H103" s="145">
        <f t="shared" si="8"/>
        <v>9.8879999999999999</v>
      </c>
      <c r="I103" s="146">
        <v>2</v>
      </c>
      <c r="J103" s="145">
        <f t="shared" si="9"/>
        <v>4.944</v>
      </c>
      <c r="K103" s="145">
        <v>4</v>
      </c>
      <c r="L103" s="145"/>
    </row>
    <row r="104" spans="1:12" ht="15.75">
      <c r="A104" s="12" t="s">
        <v>240</v>
      </c>
      <c r="B104" s="24" t="s">
        <v>241</v>
      </c>
      <c r="C104" s="26"/>
      <c r="D104" s="15"/>
      <c r="E104" s="32"/>
      <c r="F104" s="32"/>
      <c r="G104" s="21">
        <f t="shared" si="7"/>
        <v>0</v>
      </c>
      <c r="H104" s="145">
        <f t="shared" si="8"/>
        <v>0</v>
      </c>
      <c r="I104" s="146">
        <v>2</v>
      </c>
      <c r="J104" s="145">
        <f t="shared" si="9"/>
        <v>0</v>
      </c>
      <c r="K104" s="145"/>
      <c r="L104" s="145"/>
    </row>
    <row r="105" spans="1:12" ht="15.75">
      <c r="A105" s="17" t="s">
        <v>242</v>
      </c>
      <c r="B105" s="18" t="s">
        <v>243</v>
      </c>
      <c r="C105" s="19" t="s">
        <v>58</v>
      </c>
      <c r="D105" s="21">
        <v>120</v>
      </c>
      <c r="E105" s="31">
        <v>510</v>
      </c>
      <c r="F105" s="31">
        <f>D105*E105</f>
        <v>61200</v>
      </c>
      <c r="G105" s="21">
        <f t="shared" si="7"/>
        <v>24480</v>
      </c>
      <c r="H105" s="145">
        <f t="shared" si="8"/>
        <v>9.7919999999999998</v>
      </c>
      <c r="I105" s="146">
        <v>2</v>
      </c>
      <c r="J105" s="145">
        <f t="shared" si="9"/>
        <v>4.8959999999999999</v>
      </c>
      <c r="K105" s="145">
        <v>6</v>
      </c>
      <c r="L105" s="145"/>
    </row>
    <row r="106" spans="1:12" ht="15.75">
      <c r="A106" s="12" t="s">
        <v>244</v>
      </c>
      <c r="B106" s="24" t="s">
        <v>245</v>
      </c>
      <c r="C106" s="26"/>
      <c r="D106" s="15"/>
      <c r="E106" s="32"/>
      <c r="F106" s="32"/>
      <c r="G106" s="21">
        <f t="shared" si="7"/>
        <v>0</v>
      </c>
      <c r="H106" s="145">
        <f t="shared" si="8"/>
        <v>0</v>
      </c>
      <c r="I106" s="146">
        <v>2</v>
      </c>
      <c r="J106" s="145">
        <f t="shared" si="9"/>
        <v>0</v>
      </c>
      <c r="K106" s="145"/>
      <c r="L106" s="145"/>
    </row>
    <row r="107" spans="1:12" ht="15.75">
      <c r="A107" s="17" t="s">
        <v>246</v>
      </c>
      <c r="B107" s="18" t="s">
        <v>247</v>
      </c>
      <c r="C107" s="19" t="s">
        <v>96</v>
      </c>
      <c r="D107" s="21">
        <v>16</v>
      </c>
      <c r="E107" s="31">
        <v>5800</v>
      </c>
      <c r="F107" s="31">
        <f>D107*E107</f>
        <v>92800</v>
      </c>
      <c r="G107" s="21">
        <f t="shared" si="7"/>
        <v>37120</v>
      </c>
      <c r="H107" s="145">
        <f t="shared" si="8"/>
        <v>14.848000000000001</v>
      </c>
      <c r="I107" s="146">
        <v>2</v>
      </c>
      <c r="J107" s="145">
        <f t="shared" si="9"/>
        <v>7.4240000000000004</v>
      </c>
      <c r="K107" s="145">
        <v>8</v>
      </c>
      <c r="L107" s="145"/>
    </row>
    <row r="108" spans="1:12" ht="15.75">
      <c r="A108" s="12" t="s">
        <v>248</v>
      </c>
      <c r="B108" s="24" t="s">
        <v>249</v>
      </c>
      <c r="C108" s="26"/>
      <c r="D108" s="15"/>
      <c r="E108" s="32"/>
      <c r="F108" s="32"/>
      <c r="G108" s="21">
        <f t="shared" si="7"/>
        <v>0</v>
      </c>
      <c r="H108" s="145">
        <f t="shared" si="8"/>
        <v>0</v>
      </c>
      <c r="I108" s="146">
        <v>2</v>
      </c>
      <c r="J108" s="145">
        <f t="shared" si="9"/>
        <v>0</v>
      </c>
      <c r="K108" s="145"/>
      <c r="L108" s="145"/>
    </row>
    <row r="109" spans="1:12" ht="15.75">
      <c r="A109" s="17" t="s">
        <v>250</v>
      </c>
      <c r="B109" s="18" t="s">
        <v>251</v>
      </c>
      <c r="C109" s="19" t="s">
        <v>67</v>
      </c>
      <c r="D109" s="21">
        <v>171</v>
      </c>
      <c r="E109" s="31">
        <v>320</v>
      </c>
      <c r="F109" s="31">
        <f>D109*E109</f>
        <v>54720</v>
      </c>
      <c r="G109" s="21">
        <f t="shared" si="7"/>
        <v>21888</v>
      </c>
      <c r="H109" s="145">
        <f t="shared" si="8"/>
        <v>8.7552000000000003</v>
      </c>
      <c r="I109" s="146">
        <v>2</v>
      </c>
      <c r="J109" s="145">
        <f t="shared" si="9"/>
        <v>4.3776000000000002</v>
      </c>
      <c r="K109" s="145">
        <v>4</v>
      </c>
      <c r="L109" s="145"/>
    </row>
    <row r="110" spans="1:12" ht="15.75">
      <c r="A110" s="12" t="s">
        <v>252</v>
      </c>
      <c r="B110" s="24" t="s">
        <v>253</v>
      </c>
      <c r="C110" s="26"/>
      <c r="D110" s="15"/>
      <c r="E110" s="32"/>
      <c r="F110" s="32"/>
      <c r="G110" s="21">
        <f t="shared" si="7"/>
        <v>0</v>
      </c>
      <c r="H110" s="145">
        <f t="shared" si="8"/>
        <v>0</v>
      </c>
      <c r="I110" s="146">
        <v>2</v>
      </c>
      <c r="J110" s="145">
        <f t="shared" si="9"/>
        <v>0</v>
      </c>
      <c r="K110" s="145"/>
      <c r="L110" s="145"/>
    </row>
    <row r="111" spans="1:12" ht="15.75">
      <c r="A111" s="17" t="s">
        <v>254</v>
      </c>
      <c r="B111" s="18" t="s">
        <v>255</v>
      </c>
      <c r="C111" s="22" t="s">
        <v>96</v>
      </c>
      <c r="D111" s="21">
        <v>64</v>
      </c>
      <c r="E111" s="31">
        <v>350</v>
      </c>
      <c r="F111" s="31">
        <f>D111*E111</f>
        <v>22400</v>
      </c>
      <c r="G111" s="21">
        <f t="shared" si="7"/>
        <v>8960</v>
      </c>
      <c r="H111" s="145">
        <f t="shared" si="8"/>
        <v>3.5840000000000001</v>
      </c>
      <c r="I111" s="146">
        <v>2</v>
      </c>
      <c r="J111" s="145">
        <f t="shared" si="9"/>
        <v>1.792</v>
      </c>
      <c r="K111" s="145">
        <v>2</v>
      </c>
      <c r="L111" s="145"/>
    </row>
    <row r="112" spans="1:12" ht="15.75">
      <c r="A112" s="17" t="s">
        <v>256</v>
      </c>
      <c r="B112" s="18" t="s">
        <v>257</v>
      </c>
      <c r="C112" s="22" t="s">
        <v>96</v>
      </c>
      <c r="D112" s="21">
        <v>88</v>
      </c>
      <c r="E112" s="31">
        <v>440</v>
      </c>
      <c r="F112" s="31">
        <f>D112*E112</f>
        <v>38720</v>
      </c>
      <c r="G112" s="21">
        <f t="shared" si="7"/>
        <v>15488</v>
      </c>
      <c r="H112" s="145">
        <f t="shared" si="8"/>
        <v>6.1951999999999998</v>
      </c>
      <c r="I112" s="146">
        <v>2</v>
      </c>
      <c r="J112" s="145">
        <f t="shared" si="9"/>
        <v>3.0975999999999999</v>
      </c>
      <c r="K112" s="145">
        <v>2</v>
      </c>
      <c r="L112" s="145"/>
    </row>
    <row r="113" spans="1:12" ht="15.75">
      <c r="A113" s="12" t="s">
        <v>258</v>
      </c>
      <c r="B113" s="13" t="s">
        <v>259</v>
      </c>
      <c r="C113" s="26"/>
      <c r="D113" s="15"/>
      <c r="E113" s="32"/>
      <c r="F113" s="32"/>
      <c r="G113" s="21">
        <f t="shared" si="7"/>
        <v>0</v>
      </c>
      <c r="H113" s="145">
        <f t="shared" si="8"/>
        <v>0</v>
      </c>
      <c r="I113" s="146">
        <v>2</v>
      </c>
      <c r="J113" s="145">
        <f t="shared" si="9"/>
        <v>0</v>
      </c>
      <c r="K113" s="145"/>
      <c r="L113" s="145"/>
    </row>
    <row r="114" spans="1:12" ht="15.75">
      <c r="A114" s="17" t="s">
        <v>260</v>
      </c>
      <c r="B114" s="18" t="s">
        <v>261</v>
      </c>
      <c r="C114" s="22" t="s">
        <v>113</v>
      </c>
      <c r="D114" s="21">
        <v>27</v>
      </c>
      <c r="E114" s="31">
        <v>520</v>
      </c>
      <c r="F114" s="31">
        <f t="shared" ref="F114:F119" si="10">D114*E114</f>
        <v>14040</v>
      </c>
      <c r="G114" s="21">
        <f t="shared" si="7"/>
        <v>5616</v>
      </c>
      <c r="H114" s="145">
        <f t="shared" si="8"/>
        <v>2.2464</v>
      </c>
      <c r="I114" s="146">
        <v>2</v>
      </c>
      <c r="J114" s="145">
        <f t="shared" si="9"/>
        <v>1.1232</v>
      </c>
      <c r="K114" s="145">
        <v>6</v>
      </c>
      <c r="L114" s="145"/>
    </row>
    <row r="115" spans="1:12" ht="15.75">
      <c r="A115" s="17" t="s">
        <v>262</v>
      </c>
      <c r="B115" s="18" t="s">
        <v>263</v>
      </c>
      <c r="C115" s="22" t="s">
        <v>96</v>
      </c>
      <c r="D115" s="21">
        <v>16</v>
      </c>
      <c r="E115" s="31">
        <v>930</v>
      </c>
      <c r="F115" s="31">
        <f t="shared" si="10"/>
        <v>14880</v>
      </c>
      <c r="G115" s="21">
        <f t="shared" si="7"/>
        <v>5952</v>
      </c>
      <c r="H115" s="145">
        <f t="shared" si="8"/>
        <v>2.3807999999999998</v>
      </c>
      <c r="I115" s="146">
        <v>2</v>
      </c>
      <c r="J115" s="145">
        <f t="shared" si="9"/>
        <v>1.1903999999999999</v>
      </c>
      <c r="K115" s="145">
        <v>2</v>
      </c>
      <c r="L115" s="145"/>
    </row>
    <row r="116" spans="1:12" ht="15.75">
      <c r="A116" s="17" t="s">
        <v>264</v>
      </c>
      <c r="B116" s="18" t="s">
        <v>265</v>
      </c>
      <c r="C116" s="22" t="s">
        <v>96</v>
      </c>
      <c r="D116" s="21">
        <v>8</v>
      </c>
      <c r="E116" s="31">
        <v>1200</v>
      </c>
      <c r="F116" s="31">
        <f t="shared" si="10"/>
        <v>9600</v>
      </c>
      <c r="G116" s="21">
        <f t="shared" si="7"/>
        <v>3840</v>
      </c>
      <c r="H116" s="145">
        <f t="shared" si="8"/>
        <v>1.536</v>
      </c>
      <c r="I116" s="146">
        <v>2</v>
      </c>
      <c r="J116" s="145">
        <f t="shared" si="9"/>
        <v>0.76800000000000002</v>
      </c>
      <c r="K116" s="145">
        <v>1</v>
      </c>
      <c r="L116" s="145"/>
    </row>
    <row r="117" spans="1:12" ht="15.75">
      <c r="A117" s="17" t="s">
        <v>266</v>
      </c>
      <c r="B117" s="18" t="s">
        <v>267</v>
      </c>
      <c r="C117" s="22" t="s">
        <v>96</v>
      </c>
      <c r="D117" s="21">
        <v>8</v>
      </c>
      <c r="E117" s="31">
        <v>1400</v>
      </c>
      <c r="F117" s="31">
        <f t="shared" si="10"/>
        <v>11200</v>
      </c>
      <c r="G117" s="21">
        <f t="shared" si="7"/>
        <v>4480</v>
      </c>
      <c r="H117" s="145">
        <f t="shared" si="8"/>
        <v>1.792</v>
      </c>
      <c r="I117" s="146">
        <v>2</v>
      </c>
      <c r="J117" s="145">
        <f t="shared" si="9"/>
        <v>0.89600000000000002</v>
      </c>
      <c r="K117" s="145">
        <v>2</v>
      </c>
      <c r="L117" s="145"/>
    </row>
    <row r="118" spans="1:12" ht="15.75">
      <c r="A118" s="17" t="s">
        <v>268</v>
      </c>
      <c r="B118" s="18" t="s">
        <v>269</v>
      </c>
      <c r="C118" s="22" t="s">
        <v>96</v>
      </c>
      <c r="D118" s="21">
        <v>8</v>
      </c>
      <c r="E118" s="31">
        <v>6500</v>
      </c>
      <c r="F118" s="31">
        <f t="shared" si="10"/>
        <v>52000</v>
      </c>
      <c r="G118" s="21">
        <f t="shared" si="7"/>
        <v>20800</v>
      </c>
      <c r="H118" s="145">
        <f t="shared" si="8"/>
        <v>8.32</v>
      </c>
      <c r="I118" s="146">
        <v>2</v>
      </c>
      <c r="J118" s="145">
        <f t="shared" si="9"/>
        <v>4.16</v>
      </c>
      <c r="K118" s="145">
        <v>4</v>
      </c>
      <c r="L118" s="145"/>
    </row>
    <row r="119" spans="1:12" ht="15.75">
      <c r="A119" s="17" t="s">
        <v>270</v>
      </c>
      <c r="B119" s="18" t="s">
        <v>271</v>
      </c>
      <c r="C119" s="22" t="s">
        <v>96</v>
      </c>
      <c r="D119" s="21">
        <v>8</v>
      </c>
      <c r="E119" s="31">
        <v>950</v>
      </c>
      <c r="F119" s="31">
        <f t="shared" si="10"/>
        <v>7600</v>
      </c>
      <c r="G119" s="21">
        <f t="shared" si="7"/>
        <v>3040</v>
      </c>
      <c r="H119" s="145">
        <f t="shared" si="8"/>
        <v>1.216</v>
      </c>
      <c r="I119" s="146">
        <v>2</v>
      </c>
      <c r="J119" s="145">
        <f t="shared" si="9"/>
        <v>0.60799999999999998</v>
      </c>
      <c r="K119" s="145">
        <v>1</v>
      </c>
      <c r="L119" s="145"/>
    </row>
    <row r="120" spans="1:12" ht="15.75">
      <c r="A120" s="23"/>
      <c r="B120" s="47" t="s">
        <v>272</v>
      </c>
      <c r="C120" s="22"/>
      <c r="D120" s="21"/>
      <c r="E120" s="31"/>
      <c r="F120" s="48">
        <f>SUM(F1:F119)</f>
        <v>3596718.8</v>
      </c>
      <c r="G120" s="48">
        <f>SUM(G1:G119)</f>
        <v>1438687.52</v>
      </c>
      <c r="H120" s="147">
        <f>SUM(H1:H119)</f>
        <v>575.475008</v>
      </c>
      <c r="I120" s="147">
        <f>SUM(I1:I119)</f>
        <v>234</v>
      </c>
      <c r="J120" s="147">
        <f>SUM(J1:J119)</f>
        <v>287.737504</v>
      </c>
      <c r="K120" s="147">
        <f>SUM(K2:K119)</f>
        <v>185</v>
      </c>
      <c r="L120" s="147"/>
    </row>
    <row r="121" spans="1:12" ht="15.75">
      <c r="A121" s="23"/>
      <c r="B121" s="18" t="s">
        <v>273</v>
      </c>
      <c r="C121" s="22" t="s">
        <v>274</v>
      </c>
      <c r="D121" s="21">
        <v>10</v>
      </c>
      <c r="E121" s="5"/>
      <c r="F121" s="31"/>
      <c r="G121" s="31"/>
      <c r="H121" s="146"/>
      <c r="I121" s="146"/>
      <c r="J121" s="146"/>
      <c r="K121" s="146"/>
      <c r="L121" s="146"/>
    </row>
    <row r="122" spans="1:12" ht="15.75">
      <c r="A122" s="23"/>
      <c r="B122" s="18" t="s">
        <v>275</v>
      </c>
      <c r="C122" s="22" t="s">
        <v>274</v>
      </c>
      <c r="D122" s="21">
        <v>12</v>
      </c>
      <c r="E122" s="31">
        <f>F120/100</f>
        <v>35967.187999999995</v>
      </c>
      <c r="F122" s="31">
        <f>D122*E122</f>
        <v>431606.25599999994</v>
      </c>
      <c r="G122" s="31">
        <f>(G120/100)*D122</f>
        <v>172642.5024</v>
      </c>
      <c r="H122" s="146"/>
      <c r="I122" s="146"/>
      <c r="J122" s="146"/>
      <c r="K122" s="146"/>
      <c r="L122" s="146"/>
    </row>
    <row r="123" spans="1:12" ht="15.75">
      <c r="A123" s="23"/>
      <c r="B123" s="18" t="s">
        <v>272</v>
      </c>
      <c r="C123" s="6"/>
      <c r="D123" s="6"/>
      <c r="E123" s="5"/>
      <c r="F123" s="141">
        <f>F120+F122</f>
        <v>4028325.0559999999</v>
      </c>
      <c r="G123" s="141">
        <f>G122+G120</f>
        <v>1611330.0224000001</v>
      </c>
      <c r="H123" s="148"/>
      <c r="I123" s="148"/>
      <c r="J123" s="148"/>
      <c r="K123" s="148"/>
      <c r="L123" s="148"/>
    </row>
    <row r="124" spans="1:12">
      <c r="A124" s="2"/>
      <c r="B124" s="2"/>
      <c r="C124" s="2"/>
      <c r="D124" s="2"/>
      <c r="E124" s="2"/>
      <c r="F124" s="1"/>
      <c r="G124" s="1"/>
      <c r="H124" s="144"/>
      <c r="I124" s="144"/>
      <c r="J124" s="144"/>
      <c r="K124" s="144"/>
      <c r="L124" s="144"/>
    </row>
    <row r="125" spans="1:12">
      <c r="A125" s="2"/>
      <c r="B125" s="2"/>
      <c r="C125" s="2"/>
      <c r="D125" s="2"/>
      <c r="E125" s="2"/>
      <c r="F125" s="1"/>
      <c r="G125" s="1"/>
      <c r="H125" s="144"/>
      <c r="I125" s="144"/>
      <c r="J125" s="144"/>
      <c r="K125" s="144"/>
      <c r="L125" s="144"/>
    </row>
    <row r="126" spans="1:12">
      <c r="A126" s="2"/>
      <c r="B126" s="2"/>
      <c r="C126" s="2"/>
      <c r="D126" s="2"/>
      <c r="E126" s="2"/>
      <c r="F126" s="1"/>
      <c r="G126" s="1"/>
      <c r="H126" s="144"/>
      <c r="I126" s="144"/>
      <c r="J126" s="144"/>
      <c r="K126" s="144"/>
      <c r="L126" s="144"/>
    </row>
    <row r="127" spans="1:12">
      <c r="A127" s="2"/>
      <c r="B127" s="2"/>
      <c r="C127" s="2"/>
      <c r="D127" s="2"/>
      <c r="E127" s="2"/>
      <c r="F127" s="1"/>
      <c r="G127" s="1"/>
      <c r="H127" s="144"/>
      <c r="I127" s="144"/>
      <c r="J127" s="144"/>
      <c r="K127" s="144"/>
      <c r="L127" s="144"/>
    </row>
    <row r="128" spans="1:12">
      <c r="A128" s="2"/>
      <c r="B128" s="2"/>
      <c r="C128" s="2"/>
      <c r="D128" s="2"/>
      <c r="E128" s="2"/>
      <c r="F128" s="1"/>
      <c r="G128" s="1"/>
      <c r="H128" s="144"/>
      <c r="I128" s="144"/>
      <c r="J128" s="144"/>
      <c r="K128" s="144"/>
      <c r="L128" s="144"/>
    </row>
    <row r="129" spans="1:12">
      <c r="A129" s="2"/>
      <c r="B129" s="2"/>
      <c r="C129" s="2"/>
      <c r="D129" s="2"/>
      <c r="E129" s="2"/>
      <c r="F129" s="1"/>
      <c r="G129" s="1"/>
      <c r="H129" s="144"/>
      <c r="I129" s="144"/>
      <c r="J129" s="144"/>
      <c r="K129" s="144"/>
      <c r="L129" s="144"/>
    </row>
    <row r="130" spans="1:12">
      <c r="A130" s="2"/>
      <c r="B130" s="2"/>
      <c r="C130" s="2"/>
      <c r="D130" s="2"/>
      <c r="E130" s="2"/>
      <c r="F130" s="1"/>
      <c r="G130" s="1"/>
      <c r="H130" s="144"/>
      <c r="I130" s="144"/>
      <c r="J130" s="144"/>
      <c r="K130" s="144"/>
      <c r="L130" s="144"/>
    </row>
    <row r="131" spans="1:12">
      <c r="A131" s="2"/>
      <c r="B131" s="2"/>
      <c r="C131" s="2"/>
      <c r="D131" s="2"/>
      <c r="E131" s="2"/>
      <c r="F131" s="1"/>
      <c r="G131" s="1"/>
      <c r="H131" s="144"/>
      <c r="I131" s="144"/>
      <c r="J131" s="144"/>
      <c r="K131" s="144"/>
      <c r="L131" s="144"/>
    </row>
    <row r="132" spans="1:12">
      <c r="A132" s="2"/>
      <c r="B132" s="2"/>
      <c r="C132" s="2"/>
      <c r="D132" s="2"/>
      <c r="E132" s="2"/>
      <c r="F132" s="1"/>
      <c r="G132" s="1"/>
      <c r="H132" s="144"/>
      <c r="I132" s="144"/>
      <c r="J132" s="144"/>
      <c r="K132" s="144"/>
      <c r="L132" s="144"/>
    </row>
    <row r="133" spans="1:12">
      <c r="A133" s="2"/>
      <c r="B133" s="2"/>
      <c r="C133" s="2"/>
      <c r="D133" s="2"/>
      <c r="E133" s="2"/>
      <c r="F133" s="1"/>
      <c r="G133" s="1"/>
      <c r="H133" s="144"/>
      <c r="I133" s="144"/>
      <c r="J133" s="144"/>
      <c r="K133" s="144"/>
      <c r="L133" s="144"/>
    </row>
    <row r="134" spans="1:12">
      <c r="A134" s="2"/>
      <c r="B134" s="2"/>
      <c r="C134" s="2"/>
      <c r="D134" s="2"/>
      <c r="E134" s="2"/>
      <c r="F134" s="1"/>
      <c r="G134" s="1"/>
      <c r="H134" s="144"/>
      <c r="I134" s="144"/>
      <c r="J134" s="144"/>
      <c r="K134" s="144"/>
      <c r="L134" s="144"/>
    </row>
    <row r="135" spans="1:12">
      <c r="A135" s="2"/>
      <c r="B135" s="2"/>
      <c r="C135" s="2"/>
      <c r="D135" s="2"/>
      <c r="E135" s="2"/>
      <c r="F135" s="1"/>
      <c r="G135" s="1"/>
      <c r="H135" s="144"/>
      <c r="I135" s="144"/>
      <c r="J135" s="144"/>
      <c r="K135" s="144"/>
      <c r="L135" s="144"/>
    </row>
    <row r="136" spans="1:12">
      <c r="A136" s="2"/>
      <c r="B136" s="2"/>
      <c r="C136" s="2"/>
      <c r="D136" s="2"/>
      <c r="E136" s="2"/>
      <c r="F136" s="1"/>
      <c r="G136" s="1"/>
      <c r="H136" s="144"/>
      <c r="I136" s="144"/>
      <c r="J136" s="144"/>
      <c r="K136" s="144"/>
      <c r="L136" s="144"/>
    </row>
    <row r="137" spans="1:12">
      <c r="A137" s="2"/>
      <c r="B137" s="2"/>
      <c r="C137" s="2"/>
      <c r="D137" s="2"/>
      <c r="E137" s="2"/>
      <c r="F137" s="1"/>
      <c r="G137" s="1"/>
      <c r="H137" s="144"/>
      <c r="I137" s="144"/>
      <c r="J137" s="144"/>
      <c r="K137" s="144"/>
      <c r="L137" s="144"/>
    </row>
    <row r="138" spans="1:12">
      <c r="A138" s="2"/>
      <c r="B138" s="2"/>
      <c r="C138" s="2"/>
      <c r="D138" s="2"/>
      <c r="E138" s="2"/>
      <c r="F138" s="1"/>
      <c r="G138" s="1"/>
      <c r="H138" s="144"/>
      <c r="I138" s="144"/>
      <c r="J138" s="144"/>
      <c r="K138" s="144"/>
      <c r="L138" s="144"/>
    </row>
    <row r="139" spans="1:12">
      <c r="A139" s="2"/>
      <c r="B139" s="2"/>
      <c r="C139" s="2"/>
      <c r="D139" s="2"/>
      <c r="E139" s="2"/>
      <c r="F139" s="1"/>
      <c r="G139" s="1"/>
      <c r="H139" s="144"/>
      <c r="I139" s="144"/>
      <c r="J139" s="144"/>
      <c r="K139" s="144"/>
      <c r="L139" s="144"/>
    </row>
    <row r="140" spans="1:12">
      <c r="A140" s="2"/>
      <c r="B140" s="2"/>
      <c r="C140" s="2"/>
      <c r="D140" s="2"/>
      <c r="E140" s="2"/>
      <c r="F140" s="1"/>
      <c r="G140" s="1"/>
      <c r="H140" s="144"/>
      <c r="I140" s="144"/>
      <c r="J140" s="144"/>
      <c r="K140" s="144"/>
      <c r="L140" s="144"/>
    </row>
    <row r="141" spans="1:12">
      <c r="A141" s="2"/>
      <c r="B141" s="2"/>
      <c r="C141" s="2"/>
      <c r="D141" s="2"/>
      <c r="E141" s="2"/>
      <c r="F141" s="1"/>
      <c r="G141" s="1"/>
      <c r="H141" s="144"/>
      <c r="I141" s="144"/>
      <c r="J141" s="144"/>
      <c r="K141" s="144"/>
      <c r="L141" s="144"/>
    </row>
    <row r="142" spans="1:12">
      <c r="A142" s="2"/>
      <c r="B142" s="2"/>
      <c r="C142" s="2"/>
      <c r="D142" s="2"/>
      <c r="E142" s="2"/>
      <c r="F142" s="1"/>
      <c r="G142" s="1"/>
      <c r="H142" s="144"/>
      <c r="I142" s="144"/>
      <c r="J142" s="144"/>
      <c r="K142" s="144"/>
      <c r="L142" s="144"/>
    </row>
    <row r="143" spans="1:12">
      <c r="A143" s="2"/>
      <c r="B143" s="2"/>
      <c r="C143" s="2"/>
      <c r="D143" s="2"/>
      <c r="E143" s="2"/>
      <c r="F143" s="1"/>
      <c r="G143" s="1"/>
      <c r="H143" s="144"/>
      <c r="I143" s="144"/>
      <c r="J143" s="144"/>
      <c r="K143" s="144"/>
      <c r="L143" s="144"/>
    </row>
    <row r="144" spans="1:12">
      <c r="A144" s="2"/>
      <c r="B144" s="2"/>
      <c r="C144" s="2"/>
      <c r="D144" s="2"/>
      <c r="E144" s="2"/>
      <c r="F144" s="1"/>
      <c r="G144" s="1"/>
      <c r="H144" s="144"/>
      <c r="I144" s="144"/>
      <c r="J144" s="144"/>
      <c r="K144" s="144"/>
      <c r="L144" s="144"/>
    </row>
    <row r="145" spans="1:12">
      <c r="A145" s="2"/>
      <c r="B145" s="2"/>
      <c r="C145" s="2"/>
      <c r="D145" s="2"/>
      <c r="E145" s="2"/>
      <c r="F145" s="1"/>
      <c r="G145" s="1"/>
      <c r="H145" s="144"/>
      <c r="I145" s="144"/>
      <c r="J145" s="144"/>
      <c r="K145" s="144"/>
      <c r="L145" s="144"/>
    </row>
    <row r="146" spans="1:12">
      <c r="A146" s="2"/>
      <c r="B146" s="2"/>
      <c r="C146" s="2"/>
      <c r="D146" s="2"/>
      <c r="E146" s="2"/>
      <c r="F146" s="1"/>
      <c r="G146" s="1"/>
      <c r="H146" s="144"/>
      <c r="I146" s="144"/>
      <c r="J146" s="144"/>
      <c r="K146" s="144"/>
      <c r="L146" s="144"/>
    </row>
    <row r="147" spans="1:12">
      <c r="A147" s="2"/>
      <c r="B147" s="2"/>
      <c r="C147" s="2"/>
      <c r="D147" s="2"/>
      <c r="E147" s="2"/>
      <c r="F147" s="1"/>
      <c r="G147" s="1"/>
      <c r="H147" s="144"/>
      <c r="I147" s="144"/>
      <c r="J147" s="144"/>
      <c r="K147" s="144"/>
      <c r="L147" s="144"/>
    </row>
    <row r="148" spans="1:12">
      <c r="A148" s="2"/>
      <c r="B148" s="2"/>
      <c r="C148" s="2"/>
      <c r="D148" s="2"/>
      <c r="E148" s="2"/>
      <c r="F148" s="1"/>
      <c r="G148" s="1"/>
      <c r="H148" s="144"/>
      <c r="I148" s="144"/>
      <c r="J148" s="144"/>
      <c r="K148" s="144"/>
      <c r="L148" s="144"/>
    </row>
    <row r="149" spans="1:12">
      <c r="A149" s="2"/>
      <c r="B149" s="2"/>
      <c r="C149" s="2"/>
      <c r="D149" s="2"/>
      <c r="E149" s="2"/>
      <c r="F149" s="1"/>
      <c r="G149" s="1"/>
      <c r="H149" s="144"/>
      <c r="I149" s="144"/>
      <c r="J149" s="144"/>
      <c r="K149" s="144"/>
      <c r="L149" s="144"/>
    </row>
    <row r="150" spans="1:12">
      <c r="A150" s="2"/>
      <c r="B150" s="2"/>
      <c r="C150" s="2"/>
      <c r="D150" s="2"/>
      <c r="E150" s="2"/>
      <c r="F150" s="1"/>
      <c r="G150" s="1"/>
      <c r="H150" s="144"/>
      <c r="I150" s="144"/>
      <c r="J150" s="144"/>
      <c r="K150" s="144"/>
      <c r="L150" s="144"/>
    </row>
    <row r="151" spans="1:12">
      <c r="A151" s="2"/>
      <c r="B151" s="2"/>
      <c r="C151" s="2"/>
      <c r="D151" s="2"/>
      <c r="E151" s="2"/>
      <c r="F151" s="1"/>
      <c r="G151" s="1"/>
      <c r="H151" s="144"/>
      <c r="I151" s="144"/>
      <c r="J151" s="144"/>
      <c r="K151" s="144"/>
      <c r="L151" s="144"/>
    </row>
    <row r="152" spans="1:12">
      <c r="A152" s="2"/>
      <c r="B152" s="2"/>
      <c r="C152" s="2"/>
      <c r="D152" s="2"/>
      <c r="E152" s="2"/>
      <c r="F152" s="1"/>
      <c r="G152" s="1"/>
      <c r="H152" s="144"/>
      <c r="I152" s="144"/>
      <c r="J152" s="144"/>
      <c r="K152" s="144"/>
      <c r="L152" s="144"/>
    </row>
    <row r="153" spans="1:12">
      <c r="A153" s="2"/>
      <c r="B153" s="2"/>
      <c r="C153" s="2"/>
      <c r="D153" s="2"/>
      <c r="E153" s="2"/>
      <c r="F153" s="1"/>
      <c r="G153" s="1"/>
      <c r="H153" s="144"/>
      <c r="I153" s="144"/>
      <c r="J153" s="144"/>
      <c r="K153" s="144"/>
      <c r="L153" s="144"/>
    </row>
    <row r="154" spans="1:12">
      <c r="A154" s="2"/>
      <c r="B154" s="2"/>
      <c r="C154" s="2"/>
      <c r="D154" s="2"/>
      <c r="E154" s="2"/>
      <c r="F154" s="1"/>
      <c r="G154" s="1"/>
      <c r="H154" s="144"/>
      <c r="I154" s="144"/>
      <c r="J154" s="144"/>
      <c r="K154" s="144"/>
      <c r="L154" s="144"/>
    </row>
    <row r="155" spans="1:12">
      <c r="A155" s="2"/>
      <c r="B155" s="2"/>
      <c r="C155" s="2"/>
      <c r="D155" s="2"/>
      <c r="E155" s="2"/>
      <c r="F155" s="1"/>
      <c r="G155" s="1"/>
      <c r="H155" s="144"/>
      <c r="I155" s="144"/>
      <c r="J155" s="144"/>
      <c r="K155" s="144"/>
      <c r="L155" s="144"/>
    </row>
    <row r="156" spans="1:12">
      <c r="A156" s="2"/>
      <c r="B156" s="2"/>
      <c r="C156" s="2"/>
      <c r="D156" s="2"/>
      <c r="E156" s="2"/>
      <c r="F156" s="1"/>
      <c r="G156" s="1"/>
      <c r="H156" s="144"/>
      <c r="I156" s="144"/>
      <c r="J156" s="144"/>
      <c r="K156" s="144"/>
      <c r="L156" s="144"/>
    </row>
    <row r="157" spans="1:12">
      <c r="A157" s="2"/>
      <c r="B157" s="2"/>
      <c r="C157" s="2"/>
      <c r="D157" s="2"/>
      <c r="E157" s="2"/>
      <c r="F157" s="1"/>
      <c r="G157" s="1"/>
      <c r="H157" s="144"/>
      <c r="I157" s="144"/>
      <c r="J157" s="144"/>
      <c r="K157" s="144"/>
      <c r="L157" s="144"/>
    </row>
    <row r="158" spans="1:12">
      <c r="A158" s="2"/>
      <c r="B158" s="2"/>
      <c r="C158" s="2"/>
      <c r="D158" s="2"/>
      <c r="E158" s="2"/>
      <c r="F158" s="1"/>
      <c r="G158" s="1"/>
      <c r="H158" s="144"/>
      <c r="I158" s="144"/>
      <c r="J158" s="144"/>
      <c r="K158" s="144"/>
      <c r="L158" s="144"/>
    </row>
    <row r="159" spans="1:12">
      <c r="A159" s="2"/>
      <c r="B159" s="2"/>
      <c r="C159" s="2"/>
      <c r="D159" s="2"/>
      <c r="E159" s="2"/>
      <c r="F159" s="1"/>
      <c r="G159" s="1"/>
      <c r="H159" s="144"/>
      <c r="I159" s="144"/>
      <c r="J159" s="144"/>
      <c r="K159" s="144"/>
      <c r="L159" s="144"/>
    </row>
    <row r="160" spans="1:12">
      <c r="A160" s="2"/>
      <c r="B160" s="2"/>
      <c r="C160" s="2"/>
      <c r="D160" s="2"/>
      <c r="E160" s="2"/>
      <c r="F160" s="1"/>
      <c r="G160" s="1"/>
      <c r="H160" s="144"/>
      <c r="I160" s="144"/>
      <c r="J160" s="144"/>
      <c r="K160" s="144"/>
      <c r="L160" s="144"/>
    </row>
    <row r="161" spans="1:12">
      <c r="A161" s="2"/>
      <c r="B161" s="2"/>
      <c r="C161" s="2"/>
      <c r="D161" s="2"/>
      <c r="E161" s="2"/>
      <c r="F161" s="1"/>
      <c r="G161" s="1"/>
      <c r="H161" s="144"/>
      <c r="I161" s="144"/>
      <c r="J161" s="144"/>
      <c r="K161" s="144"/>
      <c r="L161" s="144"/>
    </row>
    <row r="162" spans="1:12">
      <c r="A162" s="2"/>
      <c r="B162" s="2"/>
      <c r="C162" s="2"/>
      <c r="D162" s="2"/>
      <c r="E162" s="2"/>
      <c r="F162" s="1"/>
      <c r="G162" s="1"/>
      <c r="H162" s="144"/>
      <c r="I162" s="144"/>
      <c r="J162" s="144"/>
      <c r="K162" s="144"/>
      <c r="L162" s="144"/>
    </row>
    <row r="163" spans="1:12">
      <c r="A163" s="2"/>
      <c r="B163" s="2"/>
      <c r="C163" s="2"/>
      <c r="D163" s="2"/>
      <c r="E163" s="2"/>
      <c r="F163" s="1"/>
      <c r="G163" s="1"/>
      <c r="H163" s="144"/>
      <c r="I163" s="144"/>
      <c r="J163" s="144"/>
      <c r="K163" s="144"/>
      <c r="L163" s="144"/>
    </row>
    <row r="164" spans="1:12">
      <c r="A164" s="2"/>
      <c r="B164" s="2"/>
      <c r="C164" s="2"/>
      <c r="D164" s="2"/>
      <c r="E164" s="2"/>
      <c r="F164" s="1"/>
      <c r="G164" s="1"/>
      <c r="H164" s="144"/>
      <c r="I164" s="144"/>
      <c r="J164" s="144"/>
      <c r="K164" s="144"/>
      <c r="L164" s="144"/>
    </row>
    <row r="165" spans="1:12">
      <c r="A165" s="2"/>
      <c r="B165" s="2"/>
      <c r="C165" s="2"/>
      <c r="D165" s="2"/>
      <c r="E165" s="2"/>
      <c r="F165" s="1"/>
      <c r="G165" s="1"/>
      <c r="H165" s="144"/>
      <c r="I165" s="144"/>
      <c r="J165" s="144"/>
      <c r="K165" s="144"/>
      <c r="L165" s="144"/>
    </row>
    <row r="166" spans="1:12">
      <c r="A166" s="2"/>
      <c r="B166" s="2"/>
      <c r="C166" s="2"/>
      <c r="D166" s="2"/>
      <c r="E166" s="2"/>
      <c r="F166" s="1"/>
      <c r="G166" s="1"/>
      <c r="H166" s="144"/>
      <c r="I166" s="144"/>
      <c r="J166" s="144"/>
      <c r="K166" s="144"/>
      <c r="L166" s="144"/>
    </row>
    <row r="167" spans="1:12">
      <c r="A167" s="2"/>
      <c r="B167" s="2"/>
      <c r="C167" s="2"/>
      <c r="D167" s="2"/>
      <c r="E167" s="2"/>
      <c r="F167" s="1"/>
      <c r="G167" s="1"/>
      <c r="H167" s="144"/>
      <c r="I167" s="144"/>
      <c r="J167" s="144"/>
      <c r="K167" s="144"/>
      <c r="L167" s="144"/>
    </row>
    <row r="168" spans="1:12">
      <c r="A168" s="2"/>
      <c r="B168" s="2"/>
      <c r="C168" s="2"/>
      <c r="D168" s="2"/>
      <c r="E168" s="2"/>
      <c r="F168" s="1"/>
      <c r="G168" s="1"/>
      <c r="H168" s="144"/>
      <c r="I168" s="144"/>
      <c r="J168" s="144"/>
      <c r="K168" s="144"/>
      <c r="L168" s="144"/>
    </row>
    <row r="169" spans="1:12">
      <c r="A169" s="2"/>
      <c r="B169" s="2"/>
      <c r="C169" s="2"/>
      <c r="D169" s="2"/>
      <c r="E169" s="2"/>
      <c r="F169" s="1"/>
      <c r="G169" s="1"/>
      <c r="H169" s="144"/>
      <c r="I169" s="144"/>
      <c r="J169" s="144"/>
      <c r="K169" s="144"/>
      <c r="L169" s="144"/>
    </row>
    <row r="170" spans="1:12">
      <c r="A170" s="2"/>
      <c r="B170" s="2"/>
      <c r="C170" s="2"/>
      <c r="D170" s="2"/>
      <c r="E170" s="2"/>
      <c r="F170" s="1"/>
      <c r="G170" s="1"/>
      <c r="H170" s="144"/>
      <c r="I170" s="144"/>
      <c r="J170" s="144"/>
      <c r="K170" s="144"/>
      <c r="L170" s="144"/>
    </row>
    <row r="171" spans="1:12">
      <c r="A171" s="2"/>
      <c r="B171" s="2"/>
      <c r="C171" s="2"/>
      <c r="D171" s="2"/>
      <c r="E171" s="2"/>
      <c r="F171" s="1"/>
      <c r="G171" s="1"/>
      <c r="H171" s="144"/>
      <c r="I171" s="144"/>
      <c r="J171" s="144"/>
      <c r="K171" s="144"/>
      <c r="L171" s="144"/>
    </row>
    <row r="172" spans="1:12">
      <c r="A172" s="2"/>
      <c r="B172" s="2"/>
      <c r="C172" s="2"/>
      <c r="D172" s="2"/>
      <c r="E172" s="2"/>
      <c r="F172" s="1"/>
      <c r="G172" s="1"/>
      <c r="H172" s="144"/>
      <c r="I172" s="144"/>
      <c r="J172" s="144"/>
      <c r="K172" s="144"/>
      <c r="L172" s="144"/>
    </row>
    <row r="173" spans="1:12">
      <c r="A173" s="2"/>
      <c r="B173" s="2"/>
      <c r="C173" s="2"/>
      <c r="D173" s="2"/>
      <c r="E173" s="2"/>
      <c r="F173" s="1"/>
      <c r="G173" s="1"/>
      <c r="H173" s="144"/>
      <c r="I173" s="144"/>
      <c r="J173" s="144"/>
      <c r="K173" s="144"/>
      <c r="L173" s="144"/>
    </row>
    <row r="174" spans="1:12">
      <c r="A174" s="2"/>
      <c r="B174" s="2"/>
      <c r="C174" s="2"/>
      <c r="D174" s="2"/>
      <c r="E174" s="2"/>
      <c r="F174" s="1"/>
      <c r="G174" s="1"/>
      <c r="H174" s="144"/>
      <c r="I174" s="144"/>
      <c r="J174" s="144"/>
      <c r="K174" s="144"/>
      <c r="L174" s="144"/>
    </row>
    <row r="175" spans="1:12">
      <c r="A175" s="2"/>
      <c r="B175" s="2"/>
      <c r="C175" s="2"/>
      <c r="D175" s="2"/>
      <c r="E175" s="2"/>
      <c r="F175" s="1"/>
      <c r="G175" s="1"/>
      <c r="H175" s="144"/>
      <c r="I175" s="144"/>
      <c r="J175" s="144"/>
      <c r="K175" s="144"/>
      <c r="L175" s="144"/>
    </row>
    <row r="176" spans="1:12">
      <c r="A176" s="2"/>
      <c r="B176" s="2"/>
      <c r="C176" s="2"/>
      <c r="D176" s="2"/>
      <c r="E176" s="2"/>
      <c r="F176" s="1"/>
      <c r="G176" s="1"/>
      <c r="H176" s="144"/>
      <c r="I176" s="144"/>
      <c r="J176" s="144"/>
      <c r="K176" s="144"/>
      <c r="L176" s="144"/>
    </row>
    <row r="177" spans="1:12">
      <c r="A177" s="2"/>
      <c r="B177" s="2"/>
      <c r="C177" s="2"/>
      <c r="D177" s="2"/>
      <c r="E177" s="2"/>
      <c r="F177" s="1"/>
      <c r="G177" s="1"/>
      <c r="H177" s="144"/>
      <c r="I177" s="144"/>
      <c r="J177" s="144"/>
      <c r="K177" s="144"/>
      <c r="L177" s="144"/>
    </row>
    <row r="178" spans="1:12">
      <c r="A178" s="2"/>
      <c r="B178" s="2"/>
      <c r="C178" s="2"/>
      <c r="D178" s="2"/>
      <c r="E178" s="2"/>
      <c r="F178" s="1"/>
      <c r="G178" s="1"/>
      <c r="H178" s="144"/>
      <c r="I178" s="144"/>
      <c r="J178" s="144"/>
      <c r="K178" s="144"/>
      <c r="L178" s="144"/>
    </row>
    <row r="179" spans="1:12">
      <c r="A179" s="2"/>
      <c r="B179" s="2"/>
      <c r="C179" s="2"/>
      <c r="D179" s="2"/>
      <c r="E179" s="2"/>
      <c r="F179" s="1"/>
      <c r="G179" s="1"/>
      <c r="H179" s="144"/>
      <c r="I179" s="144"/>
      <c r="J179" s="144"/>
      <c r="K179" s="144"/>
      <c r="L179" s="144"/>
    </row>
    <row r="180" spans="1:12">
      <c r="A180" s="2"/>
      <c r="B180" s="2"/>
      <c r="C180" s="2"/>
      <c r="D180" s="2"/>
      <c r="E180" s="2"/>
      <c r="F180" s="1"/>
      <c r="G180" s="1"/>
      <c r="H180" s="144"/>
      <c r="I180" s="144"/>
      <c r="J180" s="144"/>
      <c r="K180" s="144"/>
      <c r="L180" s="144"/>
    </row>
    <row r="181" spans="1:12">
      <c r="A181" s="2"/>
      <c r="B181" s="2"/>
      <c r="C181" s="2"/>
      <c r="D181" s="2"/>
      <c r="E181" s="2"/>
      <c r="F181" s="1"/>
      <c r="G181" s="1"/>
      <c r="H181" s="144"/>
      <c r="I181" s="144"/>
      <c r="J181" s="144"/>
      <c r="K181" s="144"/>
      <c r="L181" s="144"/>
    </row>
    <row r="182" spans="1:12">
      <c r="A182" s="2"/>
      <c r="B182" s="2"/>
      <c r="C182" s="2"/>
      <c r="D182" s="2"/>
      <c r="E182" s="2"/>
      <c r="F182" s="1"/>
      <c r="G182" s="1"/>
      <c r="H182" s="144"/>
      <c r="I182" s="144"/>
      <c r="J182" s="144"/>
      <c r="K182" s="144"/>
      <c r="L182" s="144"/>
    </row>
    <row r="183" spans="1:12">
      <c r="A183" s="2"/>
      <c r="B183" s="2"/>
      <c r="C183" s="2"/>
      <c r="D183" s="2"/>
      <c r="E183" s="2"/>
      <c r="F183" s="1"/>
      <c r="G183" s="1"/>
      <c r="H183" s="144"/>
      <c r="I183" s="144"/>
      <c r="J183" s="144"/>
      <c r="K183" s="144"/>
      <c r="L183" s="144"/>
    </row>
    <row r="184" spans="1:12">
      <c r="A184" s="2"/>
      <c r="B184" s="2"/>
      <c r="C184" s="2"/>
      <c r="D184" s="2"/>
      <c r="E184" s="2"/>
      <c r="F184" s="1"/>
      <c r="G184" s="1"/>
      <c r="H184" s="144"/>
      <c r="I184" s="144"/>
      <c r="J184" s="144"/>
      <c r="K184" s="144"/>
      <c r="L184" s="144"/>
    </row>
    <row r="185" spans="1:12">
      <c r="A185" s="2"/>
      <c r="B185" s="2"/>
      <c r="C185" s="2"/>
      <c r="D185" s="2"/>
      <c r="E185" s="2"/>
      <c r="F185" s="1"/>
      <c r="G185" s="1"/>
      <c r="H185" s="144"/>
      <c r="I185" s="144"/>
      <c r="J185" s="144"/>
      <c r="K185" s="144"/>
      <c r="L185" s="144"/>
    </row>
    <row r="186" spans="1:12">
      <c r="A186" s="2"/>
      <c r="B186" s="2"/>
      <c r="C186" s="2"/>
      <c r="D186" s="2"/>
      <c r="E186" s="2"/>
      <c r="F186" s="1"/>
      <c r="G186" s="1"/>
      <c r="H186" s="144"/>
      <c r="I186" s="144"/>
      <c r="J186" s="144"/>
      <c r="K186" s="144"/>
      <c r="L186" s="144"/>
    </row>
    <row r="187" spans="1:12">
      <c r="A187" s="2"/>
      <c r="B187" s="2"/>
      <c r="C187" s="2"/>
      <c r="D187" s="2"/>
      <c r="E187" s="2"/>
      <c r="F187" s="1"/>
      <c r="G187" s="1"/>
      <c r="H187" s="144"/>
      <c r="I187" s="144"/>
      <c r="J187" s="144"/>
      <c r="K187" s="144"/>
      <c r="L187" s="144"/>
    </row>
    <row r="188" spans="1:12">
      <c r="A188" s="2"/>
      <c r="B188" s="2"/>
      <c r="C188" s="2"/>
      <c r="D188" s="2"/>
      <c r="E188" s="2"/>
      <c r="F188" s="1"/>
      <c r="G188" s="1"/>
      <c r="H188" s="144"/>
      <c r="I188" s="144"/>
      <c r="J188" s="144"/>
      <c r="K188" s="144"/>
      <c r="L188" s="144"/>
    </row>
    <row r="189" spans="1:12">
      <c r="A189" s="2"/>
      <c r="B189" s="2"/>
      <c r="C189" s="2"/>
      <c r="D189" s="2"/>
      <c r="E189" s="2"/>
      <c r="F189" s="1"/>
      <c r="G189" s="1"/>
      <c r="H189" s="144"/>
      <c r="I189" s="144"/>
      <c r="J189" s="144"/>
      <c r="K189" s="144"/>
      <c r="L189" s="144"/>
    </row>
    <row r="190" spans="1:12">
      <c r="A190" s="2"/>
      <c r="B190" s="2"/>
      <c r="C190" s="2"/>
      <c r="D190" s="2"/>
      <c r="E190" s="2"/>
      <c r="F190" s="1"/>
      <c r="G190" s="1"/>
      <c r="H190" s="144"/>
      <c r="I190" s="144"/>
      <c r="J190" s="144"/>
      <c r="K190" s="144"/>
      <c r="L190" s="144"/>
    </row>
    <row r="191" spans="1:12">
      <c r="A191" s="2"/>
      <c r="B191" s="2"/>
      <c r="C191" s="2"/>
      <c r="D191" s="2"/>
      <c r="E191" s="2"/>
      <c r="F191" s="1"/>
      <c r="G191" s="1"/>
      <c r="H191" s="144"/>
      <c r="I191" s="144"/>
      <c r="J191" s="144"/>
      <c r="K191" s="144"/>
      <c r="L191" s="144"/>
    </row>
    <row r="192" spans="1:12">
      <c r="A192" s="2"/>
      <c r="B192" s="2"/>
      <c r="C192" s="2"/>
      <c r="D192" s="2"/>
      <c r="E192" s="2"/>
      <c r="F192" s="1"/>
      <c r="G192" s="1"/>
      <c r="H192" s="144"/>
      <c r="I192" s="144"/>
      <c r="J192" s="144"/>
      <c r="K192" s="144"/>
      <c r="L192" s="144"/>
    </row>
    <row r="193" spans="1:12">
      <c r="A193" s="2"/>
      <c r="B193" s="2"/>
      <c r="C193" s="2"/>
      <c r="D193" s="2"/>
      <c r="E193" s="2"/>
      <c r="F193" s="1"/>
      <c r="G193" s="1"/>
      <c r="H193" s="144"/>
      <c r="I193" s="144"/>
      <c r="J193" s="144"/>
      <c r="K193" s="144"/>
      <c r="L193" s="144"/>
    </row>
    <row r="194" spans="1:12">
      <c r="A194" s="2"/>
      <c r="B194" s="2"/>
      <c r="C194" s="2"/>
      <c r="D194" s="2"/>
      <c r="E194" s="2"/>
      <c r="F194" s="1"/>
      <c r="G194" s="1"/>
      <c r="H194" s="144"/>
      <c r="I194" s="144"/>
      <c r="J194" s="144"/>
      <c r="K194" s="144"/>
      <c r="L194" s="144"/>
    </row>
    <row r="195" spans="1:12">
      <c r="A195" s="2"/>
      <c r="B195" s="2"/>
      <c r="C195" s="2"/>
      <c r="D195" s="2"/>
      <c r="E195" s="2"/>
      <c r="F195" s="1"/>
      <c r="G195" s="1"/>
      <c r="H195" s="144"/>
      <c r="I195" s="144"/>
      <c r="J195" s="144"/>
      <c r="K195" s="144"/>
      <c r="L195" s="144"/>
    </row>
    <row r="196" spans="1:12">
      <c r="A196" s="2"/>
      <c r="B196" s="2"/>
      <c r="C196" s="2"/>
      <c r="D196" s="2"/>
      <c r="E196" s="2"/>
      <c r="F196" s="1"/>
      <c r="G196" s="1"/>
      <c r="H196" s="144"/>
      <c r="I196" s="144"/>
      <c r="J196" s="144"/>
      <c r="K196" s="144"/>
      <c r="L196" s="144"/>
    </row>
    <row r="197" spans="1:12">
      <c r="A197" s="2"/>
      <c r="B197" s="2"/>
      <c r="C197" s="2"/>
      <c r="D197" s="2"/>
      <c r="E197" s="2"/>
      <c r="F197" s="1"/>
      <c r="G197" s="1"/>
      <c r="H197" s="144"/>
      <c r="I197" s="144"/>
      <c r="J197" s="144"/>
      <c r="K197" s="144"/>
      <c r="L197" s="144"/>
    </row>
    <row r="198" spans="1:12">
      <c r="A198" s="2"/>
      <c r="B198" s="2"/>
      <c r="C198" s="2"/>
      <c r="D198" s="2"/>
      <c r="E198" s="2"/>
      <c r="F198" s="1"/>
      <c r="G198" s="1"/>
      <c r="H198" s="144"/>
      <c r="I198" s="144"/>
      <c r="J198" s="144"/>
      <c r="K198" s="144"/>
      <c r="L198" s="144"/>
    </row>
    <row r="199" spans="1:12">
      <c r="A199" s="2"/>
      <c r="B199" s="2"/>
      <c r="C199" s="2"/>
      <c r="D199" s="2"/>
      <c r="E199" s="2"/>
      <c r="F199" s="1"/>
      <c r="G199" s="1"/>
      <c r="H199" s="144"/>
      <c r="I199" s="144"/>
      <c r="J199" s="144"/>
      <c r="K199" s="144"/>
      <c r="L199" s="144"/>
    </row>
    <row r="200" spans="1:12">
      <c r="A200" s="2"/>
      <c r="B200" s="2"/>
      <c r="C200" s="2"/>
      <c r="D200" s="2"/>
      <c r="E200" s="2"/>
      <c r="F200" s="1"/>
      <c r="G200" s="1"/>
      <c r="H200" s="144"/>
      <c r="I200" s="144"/>
      <c r="J200" s="144"/>
      <c r="K200" s="144"/>
      <c r="L200" s="144"/>
    </row>
    <row r="201" spans="1:12">
      <c r="A201" s="2"/>
      <c r="B201" s="2"/>
      <c r="C201" s="2"/>
      <c r="D201" s="2"/>
      <c r="E201" s="2"/>
      <c r="F201" s="1"/>
      <c r="G201" s="1"/>
      <c r="H201" s="144"/>
      <c r="I201" s="144"/>
      <c r="J201" s="144"/>
      <c r="K201" s="144"/>
      <c r="L201" s="144"/>
    </row>
    <row r="202" spans="1:12">
      <c r="A202" s="2"/>
      <c r="B202" s="2"/>
      <c r="C202" s="2"/>
      <c r="D202" s="2"/>
      <c r="E202" s="2"/>
      <c r="F202" s="1"/>
      <c r="G202" s="1"/>
      <c r="H202" s="144"/>
      <c r="I202" s="144"/>
      <c r="J202" s="144"/>
      <c r="K202" s="144"/>
      <c r="L202" s="144"/>
    </row>
    <row r="203" spans="1:12">
      <c r="A203" s="2"/>
      <c r="B203" s="2"/>
      <c r="C203" s="2"/>
      <c r="D203" s="2"/>
      <c r="E203" s="2"/>
      <c r="F203" s="1"/>
      <c r="G203" s="1"/>
      <c r="H203" s="144"/>
      <c r="I203" s="144"/>
      <c r="J203" s="144"/>
      <c r="K203" s="144"/>
      <c r="L203" s="144"/>
    </row>
    <row r="204" spans="1:12">
      <c r="A204" s="2"/>
      <c r="B204" s="2"/>
      <c r="C204" s="2"/>
      <c r="D204" s="2"/>
      <c r="E204" s="2"/>
      <c r="F204" s="1"/>
      <c r="G204" s="1"/>
      <c r="H204" s="144"/>
      <c r="I204" s="144"/>
      <c r="J204" s="144"/>
      <c r="K204" s="144"/>
      <c r="L204" s="144"/>
    </row>
    <row r="205" spans="1:12">
      <c r="A205" s="2"/>
      <c r="B205" s="2"/>
      <c r="C205" s="2"/>
      <c r="D205" s="2"/>
      <c r="E205" s="2"/>
      <c r="F205" s="1"/>
      <c r="G205" s="1"/>
      <c r="H205" s="144"/>
      <c r="I205" s="144"/>
      <c r="J205" s="144"/>
      <c r="K205" s="144"/>
      <c r="L205" s="144"/>
    </row>
    <row r="206" spans="1:12">
      <c r="A206" s="2"/>
      <c r="B206" s="2"/>
      <c r="C206" s="2"/>
      <c r="D206" s="2"/>
      <c r="E206" s="2"/>
      <c r="F206" s="1"/>
      <c r="G206" s="1"/>
      <c r="H206" s="144"/>
      <c r="I206" s="144"/>
      <c r="J206" s="144"/>
      <c r="K206" s="144"/>
      <c r="L206" s="144"/>
    </row>
    <row r="207" spans="1:12">
      <c r="A207" s="2"/>
      <c r="B207" s="2"/>
      <c r="C207" s="2"/>
      <c r="D207" s="2"/>
      <c r="E207" s="2"/>
      <c r="F207" s="1"/>
      <c r="G207" s="1"/>
      <c r="H207" s="144"/>
      <c r="I207" s="144"/>
      <c r="J207" s="144"/>
      <c r="K207" s="144"/>
      <c r="L207" s="144"/>
    </row>
    <row r="208" spans="1:12">
      <c r="A208" s="2"/>
      <c r="B208" s="2"/>
      <c r="C208" s="2"/>
      <c r="D208" s="2"/>
      <c r="E208" s="2"/>
      <c r="F208" s="1"/>
      <c r="G208" s="1"/>
      <c r="H208" s="144"/>
      <c r="I208" s="144"/>
      <c r="J208" s="144"/>
      <c r="K208" s="144"/>
      <c r="L208" s="144"/>
    </row>
    <row r="209" spans="1:12">
      <c r="A209" s="2"/>
      <c r="B209" s="2"/>
      <c r="C209" s="2"/>
      <c r="D209" s="2"/>
      <c r="E209" s="2"/>
      <c r="F209" s="1"/>
      <c r="G209" s="1"/>
      <c r="H209" s="144"/>
      <c r="I209" s="144"/>
      <c r="J209" s="144"/>
      <c r="K209" s="144"/>
      <c r="L209" s="144"/>
    </row>
    <row r="210" spans="1:12">
      <c r="A210" s="2"/>
      <c r="B210" s="2"/>
      <c r="C210" s="2"/>
      <c r="D210" s="2"/>
      <c r="E210" s="2"/>
      <c r="F210" s="1"/>
      <c r="G210" s="1"/>
      <c r="H210" s="144"/>
      <c r="I210" s="144"/>
      <c r="J210" s="144"/>
      <c r="K210" s="144"/>
      <c r="L210" s="144"/>
    </row>
    <row r="211" spans="1:12">
      <c r="A211" s="2"/>
      <c r="B211" s="2"/>
      <c r="C211" s="2"/>
      <c r="D211" s="2"/>
      <c r="E211" s="2"/>
      <c r="F211" s="1"/>
      <c r="G211" s="1"/>
      <c r="H211" s="144"/>
      <c r="I211" s="144"/>
      <c r="J211" s="144"/>
      <c r="K211" s="144"/>
      <c r="L211" s="144"/>
    </row>
    <row r="212" spans="1:12">
      <c r="A212" s="2"/>
      <c r="B212" s="2"/>
      <c r="C212" s="2"/>
      <c r="D212" s="2"/>
      <c r="E212" s="2"/>
      <c r="F212" s="1"/>
      <c r="G212" s="1"/>
      <c r="H212" s="144"/>
      <c r="I212" s="144"/>
      <c r="J212" s="144"/>
      <c r="K212" s="144"/>
      <c r="L212" s="144"/>
    </row>
    <row r="213" spans="1:12">
      <c r="A213" s="2"/>
      <c r="B213" s="2"/>
      <c r="C213" s="2"/>
      <c r="D213" s="2"/>
      <c r="E213" s="2"/>
      <c r="F213" s="1"/>
      <c r="G213" s="1"/>
      <c r="H213" s="144"/>
      <c r="I213" s="144"/>
      <c r="J213" s="144"/>
      <c r="K213" s="144"/>
      <c r="L213" s="144"/>
    </row>
    <row r="214" spans="1:12">
      <c r="A214" s="2"/>
      <c r="B214" s="2"/>
      <c r="C214" s="2"/>
      <c r="D214" s="2"/>
      <c r="E214" s="2"/>
      <c r="F214" s="1"/>
      <c r="G214" s="1"/>
      <c r="H214" s="144"/>
      <c r="I214" s="144"/>
      <c r="J214" s="144"/>
      <c r="K214" s="144"/>
      <c r="L214" s="144"/>
    </row>
    <row r="215" spans="1:12">
      <c r="A215" s="2"/>
      <c r="B215" s="2"/>
      <c r="C215" s="2"/>
      <c r="D215" s="2"/>
      <c r="E215" s="2"/>
      <c r="F215" s="1"/>
      <c r="G215" s="1"/>
      <c r="H215" s="144"/>
      <c r="I215" s="144"/>
      <c r="J215" s="144"/>
      <c r="K215" s="144"/>
      <c r="L215" s="144"/>
    </row>
    <row r="216" spans="1:12">
      <c r="A216" s="2"/>
      <c r="B216" s="2"/>
      <c r="C216" s="2"/>
      <c r="D216" s="2"/>
      <c r="E216" s="2"/>
      <c r="F216" s="1"/>
      <c r="G216" s="1"/>
      <c r="H216" s="144"/>
      <c r="I216" s="144"/>
      <c r="J216" s="144"/>
      <c r="K216" s="144"/>
      <c r="L216" s="144"/>
    </row>
    <row r="217" spans="1:12">
      <c r="A217" s="2"/>
      <c r="B217" s="2"/>
      <c r="C217" s="2"/>
      <c r="D217" s="2"/>
      <c r="E217" s="2"/>
      <c r="F217" s="1"/>
      <c r="G217" s="1"/>
      <c r="H217" s="144"/>
      <c r="I217" s="144"/>
      <c r="J217" s="144"/>
      <c r="K217" s="144"/>
      <c r="L217" s="144"/>
    </row>
    <row r="218" spans="1:12">
      <c r="A218" s="2"/>
      <c r="B218" s="2"/>
      <c r="C218" s="2"/>
      <c r="D218" s="2"/>
      <c r="E218" s="2"/>
      <c r="F218" s="1"/>
      <c r="G218" s="1"/>
      <c r="H218" s="144"/>
      <c r="I218" s="144"/>
      <c r="J218" s="144"/>
      <c r="K218" s="144"/>
      <c r="L218" s="144"/>
    </row>
    <row r="219" spans="1:12">
      <c r="A219" s="2"/>
      <c r="B219" s="2"/>
      <c r="C219" s="2"/>
      <c r="D219" s="2"/>
      <c r="E219" s="2"/>
      <c r="F219" s="1"/>
      <c r="G219" s="1"/>
      <c r="H219" s="144"/>
      <c r="I219" s="144"/>
      <c r="J219" s="144"/>
      <c r="K219" s="144"/>
      <c r="L219" s="144"/>
    </row>
    <row r="220" spans="1:12">
      <c r="A220" s="2"/>
      <c r="B220" s="2"/>
      <c r="C220" s="2"/>
      <c r="D220" s="2"/>
      <c r="E220" s="2"/>
      <c r="F220" s="1"/>
      <c r="G220" s="1"/>
      <c r="H220" s="144"/>
      <c r="I220" s="144"/>
      <c r="J220" s="144"/>
      <c r="K220" s="144"/>
      <c r="L220" s="144"/>
    </row>
    <row r="221" spans="1:12">
      <c r="A221" s="2"/>
      <c r="B221" s="2"/>
      <c r="C221" s="2"/>
      <c r="D221" s="2"/>
      <c r="E221" s="2"/>
      <c r="F221" s="1"/>
      <c r="G221" s="1"/>
      <c r="H221" s="144"/>
      <c r="I221" s="144"/>
      <c r="J221" s="144"/>
      <c r="K221" s="144"/>
      <c r="L221" s="144"/>
    </row>
    <row r="222" spans="1:12">
      <c r="A222" s="2"/>
      <c r="B222" s="2"/>
      <c r="C222" s="2"/>
      <c r="D222" s="2"/>
      <c r="E222" s="2"/>
      <c r="F222" s="1"/>
      <c r="G222" s="1"/>
      <c r="H222" s="144"/>
      <c r="I222" s="144"/>
      <c r="J222" s="144"/>
      <c r="K222" s="144"/>
      <c r="L222" s="144"/>
    </row>
    <row r="223" spans="1:12">
      <c r="A223" s="2"/>
      <c r="B223" s="2"/>
      <c r="C223" s="2"/>
      <c r="D223" s="2"/>
      <c r="E223" s="2"/>
      <c r="F223" s="1"/>
      <c r="G223" s="1"/>
      <c r="H223" s="144"/>
      <c r="I223" s="144"/>
      <c r="J223" s="144"/>
      <c r="K223" s="144"/>
      <c r="L223" s="144"/>
    </row>
    <row r="224" spans="1:12">
      <c r="A224" s="2"/>
      <c r="B224" s="2"/>
      <c r="C224" s="2"/>
      <c r="D224" s="2"/>
      <c r="E224" s="2"/>
      <c r="F224" s="1"/>
      <c r="G224" s="1"/>
      <c r="H224" s="144"/>
      <c r="I224" s="144"/>
      <c r="J224" s="144"/>
      <c r="K224" s="144"/>
      <c r="L224" s="144"/>
    </row>
    <row r="225" spans="1:12">
      <c r="A225" s="2"/>
      <c r="B225" s="2"/>
      <c r="C225" s="2"/>
      <c r="D225" s="2"/>
      <c r="E225" s="2"/>
      <c r="F225" s="1"/>
      <c r="G225" s="1"/>
      <c r="H225" s="144"/>
      <c r="I225" s="144"/>
      <c r="J225" s="144"/>
      <c r="K225" s="144"/>
      <c r="L225" s="144"/>
    </row>
    <row r="226" spans="1:12">
      <c r="A226" s="2"/>
      <c r="B226" s="2"/>
      <c r="C226" s="2"/>
      <c r="D226" s="2"/>
      <c r="E226" s="2"/>
      <c r="F226" s="1"/>
      <c r="G226" s="1"/>
      <c r="H226" s="144"/>
      <c r="I226" s="144"/>
      <c r="J226" s="144"/>
      <c r="K226" s="144"/>
      <c r="L226" s="144"/>
    </row>
    <row r="227" spans="1:12">
      <c r="A227" s="2"/>
      <c r="B227" s="2"/>
      <c r="C227" s="2"/>
      <c r="D227" s="2"/>
      <c r="E227" s="2"/>
      <c r="F227" s="1"/>
      <c r="G227" s="1"/>
      <c r="H227" s="144"/>
      <c r="I227" s="144"/>
      <c r="J227" s="144"/>
      <c r="K227" s="144"/>
      <c r="L227" s="144"/>
    </row>
    <row r="228" spans="1:12">
      <c r="A228" s="2"/>
      <c r="B228" s="2"/>
      <c r="C228" s="2"/>
      <c r="D228" s="2"/>
      <c r="E228" s="2"/>
      <c r="F228" s="1"/>
      <c r="G228" s="1"/>
      <c r="H228" s="144"/>
      <c r="I228" s="144"/>
      <c r="J228" s="144"/>
      <c r="K228" s="144"/>
      <c r="L228" s="144"/>
    </row>
    <row r="229" spans="1:12">
      <c r="A229" s="2"/>
      <c r="B229" s="2"/>
      <c r="C229" s="2"/>
      <c r="D229" s="2"/>
      <c r="E229" s="2"/>
      <c r="F229" s="1"/>
      <c r="G229" s="1"/>
      <c r="H229" s="144"/>
      <c r="I229" s="144"/>
      <c r="J229" s="144"/>
      <c r="K229" s="144"/>
      <c r="L229" s="144"/>
    </row>
    <row r="230" spans="1:12">
      <c r="A230" s="2"/>
      <c r="B230" s="2"/>
      <c r="C230" s="2"/>
      <c r="D230" s="2"/>
      <c r="E230" s="2"/>
      <c r="F230" s="1"/>
      <c r="G230" s="1"/>
      <c r="H230" s="144"/>
      <c r="I230" s="144"/>
      <c r="J230" s="144"/>
      <c r="K230" s="144"/>
      <c r="L230" s="144"/>
    </row>
    <row r="231" spans="1:12">
      <c r="A231" s="2"/>
      <c r="B231" s="2"/>
      <c r="C231" s="2"/>
      <c r="D231" s="2"/>
      <c r="E231" s="2"/>
      <c r="F231" s="1"/>
      <c r="G231" s="1"/>
      <c r="H231" s="144"/>
      <c r="I231" s="144"/>
      <c r="J231" s="144"/>
      <c r="K231" s="144"/>
      <c r="L231" s="144"/>
    </row>
    <row r="232" spans="1:12">
      <c r="A232" s="2"/>
      <c r="B232" s="2"/>
      <c r="C232" s="2"/>
      <c r="D232" s="2"/>
      <c r="E232" s="2"/>
      <c r="F232" s="1"/>
      <c r="G232" s="1"/>
      <c r="H232" s="144"/>
      <c r="I232" s="144"/>
      <c r="J232" s="144"/>
      <c r="K232" s="144"/>
      <c r="L232" s="144"/>
    </row>
    <row r="233" spans="1:12">
      <c r="A233" s="2"/>
      <c r="B233" s="2"/>
      <c r="C233" s="2"/>
      <c r="D233" s="2"/>
      <c r="E233" s="2"/>
      <c r="F233" s="1"/>
      <c r="G233" s="1"/>
      <c r="H233" s="144"/>
      <c r="I233" s="144"/>
      <c r="J233" s="144"/>
      <c r="K233" s="144"/>
      <c r="L233" s="144"/>
    </row>
    <row r="234" spans="1:12">
      <c r="A234" s="2"/>
      <c r="B234" s="2"/>
      <c r="C234" s="2"/>
      <c r="D234" s="2"/>
      <c r="E234" s="2"/>
      <c r="F234" s="1"/>
      <c r="G234" s="1"/>
      <c r="H234" s="144"/>
      <c r="I234" s="144"/>
      <c r="J234" s="144"/>
      <c r="K234" s="144"/>
      <c r="L234" s="144"/>
    </row>
    <row r="235" spans="1:12">
      <c r="A235" s="2"/>
      <c r="B235" s="2"/>
      <c r="C235" s="2"/>
      <c r="D235" s="2"/>
      <c r="E235" s="2"/>
      <c r="F235" s="1"/>
      <c r="G235" s="1"/>
      <c r="H235" s="144"/>
      <c r="I235" s="144"/>
      <c r="J235" s="144"/>
      <c r="K235" s="144"/>
      <c r="L235" s="144"/>
    </row>
    <row r="236" spans="1:12">
      <c r="A236" s="2"/>
      <c r="B236" s="2"/>
      <c r="C236" s="2"/>
      <c r="D236" s="2"/>
      <c r="E236" s="2"/>
      <c r="F236" s="1"/>
      <c r="G236" s="1"/>
      <c r="H236" s="144"/>
      <c r="I236" s="144"/>
      <c r="J236" s="144"/>
      <c r="K236" s="144"/>
      <c r="L236" s="144"/>
    </row>
    <row r="237" spans="1:12">
      <c r="A237" s="2"/>
      <c r="B237" s="2"/>
      <c r="C237" s="2"/>
      <c r="D237" s="2"/>
      <c r="E237" s="2"/>
      <c r="F237" s="1"/>
      <c r="G237" s="1"/>
      <c r="H237" s="144"/>
      <c r="I237" s="144"/>
      <c r="J237" s="144"/>
      <c r="K237" s="144"/>
      <c r="L237" s="144"/>
    </row>
    <row r="238" spans="1:12">
      <c r="A238" s="2"/>
      <c r="B238" s="2"/>
      <c r="C238" s="2"/>
      <c r="D238" s="2"/>
      <c r="E238" s="2"/>
      <c r="F238" s="1"/>
      <c r="G238" s="1"/>
      <c r="H238" s="144"/>
      <c r="I238" s="144"/>
      <c r="J238" s="144"/>
      <c r="K238" s="144"/>
      <c r="L238" s="144"/>
    </row>
    <row r="239" spans="1:12">
      <c r="A239" s="2"/>
      <c r="B239" s="2"/>
      <c r="C239" s="2"/>
      <c r="D239" s="2"/>
      <c r="E239" s="2"/>
      <c r="F239" s="1"/>
      <c r="G239" s="1"/>
      <c r="H239" s="144"/>
      <c r="I239" s="144"/>
      <c r="J239" s="144"/>
      <c r="K239" s="144"/>
      <c r="L239" s="144"/>
    </row>
    <row r="240" spans="1:12">
      <c r="A240" s="2"/>
      <c r="B240" s="2"/>
      <c r="C240" s="2"/>
      <c r="D240" s="2"/>
      <c r="E240" s="2"/>
      <c r="F240" s="1"/>
      <c r="G240" s="1"/>
      <c r="H240" s="144"/>
      <c r="I240" s="144"/>
      <c r="J240" s="144"/>
      <c r="K240" s="144"/>
      <c r="L240" s="144"/>
    </row>
    <row r="241" spans="1:12">
      <c r="A241" s="2"/>
      <c r="B241" s="2"/>
      <c r="C241" s="2"/>
      <c r="D241" s="2"/>
      <c r="E241" s="2"/>
      <c r="F241" s="1"/>
      <c r="G241" s="1"/>
      <c r="H241" s="144"/>
      <c r="I241" s="144"/>
      <c r="J241" s="144"/>
      <c r="K241" s="144"/>
      <c r="L241" s="144"/>
    </row>
    <row r="242" spans="1:12">
      <c r="A242" s="2"/>
      <c r="B242" s="2"/>
      <c r="C242" s="2"/>
      <c r="D242" s="2"/>
      <c r="E242" s="2"/>
      <c r="F242" s="1"/>
      <c r="G242" s="1"/>
      <c r="H242" s="144"/>
      <c r="I242" s="144"/>
      <c r="J242" s="144"/>
      <c r="K242" s="144"/>
      <c r="L242" s="144"/>
    </row>
    <row r="243" spans="1:12">
      <c r="A243" s="2"/>
      <c r="B243" s="2"/>
      <c r="C243" s="2"/>
      <c r="D243" s="2"/>
      <c r="E243" s="2"/>
      <c r="F243" s="1"/>
      <c r="G243" s="1"/>
      <c r="H243" s="144"/>
      <c r="I243" s="144"/>
      <c r="J243" s="144"/>
      <c r="K243" s="144"/>
      <c r="L243" s="144"/>
    </row>
    <row r="244" spans="1:12">
      <c r="A244" s="2"/>
      <c r="B244" s="2"/>
      <c r="C244" s="2"/>
      <c r="D244" s="2"/>
      <c r="E244" s="2"/>
      <c r="F244" s="1"/>
      <c r="G244" s="1"/>
      <c r="H244" s="144"/>
      <c r="I244" s="144"/>
      <c r="J244" s="144"/>
      <c r="K244" s="144"/>
      <c r="L244" s="144"/>
    </row>
    <row r="245" spans="1:12">
      <c r="A245" s="2"/>
      <c r="B245" s="2"/>
      <c r="C245" s="2"/>
      <c r="D245" s="2"/>
      <c r="E245" s="2"/>
      <c r="F245" s="1"/>
      <c r="G245" s="1"/>
      <c r="H245" s="144"/>
      <c r="I245" s="144"/>
      <c r="J245" s="144"/>
      <c r="K245" s="144"/>
      <c r="L245" s="144"/>
    </row>
    <row r="246" spans="1:12">
      <c r="A246" s="2"/>
      <c r="B246" s="2"/>
      <c r="C246" s="2"/>
      <c r="D246" s="2"/>
      <c r="E246" s="2"/>
      <c r="F246" s="1"/>
      <c r="G246" s="1"/>
      <c r="H246" s="144"/>
      <c r="I246" s="144"/>
      <c r="J246" s="144"/>
      <c r="K246" s="144"/>
      <c r="L246" s="144"/>
    </row>
    <row r="247" spans="1:12">
      <c r="A247" s="2"/>
      <c r="B247" s="2"/>
      <c r="C247" s="2"/>
      <c r="D247" s="2"/>
      <c r="E247" s="2"/>
      <c r="F247" s="1"/>
      <c r="G247" s="1"/>
      <c r="H247" s="144"/>
      <c r="I247" s="144"/>
      <c r="J247" s="144"/>
      <c r="K247" s="144"/>
      <c r="L247" s="144"/>
    </row>
    <row r="248" spans="1:12">
      <c r="A248" s="2"/>
      <c r="B248" s="2"/>
      <c r="C248" s="2"/>
      <c r="D248" s="2"/>
      <c r="E248" s="2"/>
      <c r="F248" s="1"/>
      <c r="G248" s="1"/>
      <c r="H248" s="144"/>
      <c r="I248" s="144"/>
      <c r="J248" s="144"/>
      <c r="K248" s="144"/>
      <c r="L248" s="144"/>
    </row>
    <row r="249" spans="1:12">
      <c r="A249" s="2"/>
      <c r="B249" s="2"/>
      <c r="C249" s="2"/>
      <c r="D249" s="2"/>
      <c r="E249" s="2"/>
      <c r="F249" s="1"/>
      <c r="G249" s="1"/>
      <c r="H249" s="144"/>
      <c r="I249" s="144"/>
      <c r="J249" s="144"/>
      <c r="K249" s="144"/>
      <c r="L249" s="144"/>
    </row>
    <row r="250" spans="1:12">
      <c r="A250" s="2"/>
      <c r="B250" s="2"/>
      <c r="C250" s="2"/>
      <c r="D250" s="2"/>
      <c r="E250" s="2"/>
      <c r="F250" s="1"/>
      <c r="G250" s="1"/>
      <c r="H250" s="144"/>
      <c r="I250" s="144"/>
      <c r="J250" s="144"/>
      <c r="K250" s="144"/>
      <c r="L250" s="144"/>
    </row>
    <row r="251" spans="1:12">
      <c r="A251" s="2"/>
      <c r="B251" s="2"/>
      <c r="C251" s="2"/>
      <c r="D251" s="2"/>
      <c r="E251" s="2"/>
      <c r="F251" s="1"/>
      <c r="G251" s="1"/>
      <c r="H251" s="144"/>
      <c r="I251" s="144"/>
      <c r="J251" s="144"/>
      <c r="K251" s="144"/>
      <c r="L251" s="144"/>
    </row>
    <row r="252" spans="1:12">
      <c r="A252" s="2"/>
      <c r="B252" s="2"/>
      <c r="C252" s="2"/>
      <c r="D252" s="2"/>
      <c r="E252" s="2"/>
      <c r="F252" s="1"/>
      <c r="G252" s="1"/>
      <c r="H252" s="144"/>
      <c r="I252" s="144"/>
      <c r="J252" s="144"/>
      <c r="K252" s="144"/>
      <c r="L252" s="144"/>
    </row>
    <row r="253" spans="1:12">
      <c r="A253" s="2"/>
      <c r="B253" s="2"/>
      <c r="C253" s="2"/>
      <c r="D253" s="2"/>
      <c r="E253" s="2"/>
      <c r="F253" s="1"/>
      <c r="G253" s="1"/>
      <c r="H253" s="144"/>
      <c r="I253" s="144"/>
      <c r="J253" s="144"/>
      <c r="K253" s="144"/>
      <c r="L253" s="144"/>
    </row>
    <row r="254" spans="1:12">
      <c r="A254" s="2"/>
      <c r="B254" s="2"/>
      <c r="C254" s="2"/>
      <c r="D254" s="2"/>
      <c r="E254" s="2"/>
      <c r="F254" s="1"/>
      <c r="G254" s="1"/>
      <c r="H254" s="144"/>
      <c r="I254" s="144"/>
      <c r="J254" s="144"/>
      <c r="K254" s="144"/>
      <c r="L254" s="144"/>
    </row>
    <row r="255" spans="1:12">
      <c r="A255" s="2"/>
      <c r="B255" s="2"/>
      <c r="C255" s="2"/>
      <c r="D255" s="2"/>
      <c r="E255" s="2"/>
      <c r="F255" s="1"/>
      <c r="G255" s="1"/>
      <c r="H255" s="144"/>
      <c r="I255" s="144"/>
      <c r="J255" s="144"/>
      <c r="K255" s="144"/>
      <c r="L255" s="144"/>
    </row>
    <row r="256" spans="1:12">
      <c r="A256" s="2"/>
      <c r="B256" s="2"/>
      <c r="C256" s="2"/>
      <c r="D256" s="2"/>
      <c r="E256" s="2"/>
      <c r="F256" s="1"/>
      <c r="G256" s="1"/>
      <c r="H256" s="144"/>
      <c r="I256" s="144"/>
      <c r="J256" s="144"/>
      <c r="K256" s="144"/>
      <c r="L256" s="144"/>
    </row>
    <row r="257" spans="1:12">
      <c r="A257" s="2"/>
      <c r="B257" s="2"/>
      <c r="C257" s="2"/>
      <c r="D257" s="2"/>
      <c r="E257" s="2"/>
      <c r="F257" s="1"/>
      <c r="G257" s="1"/>
      <c r="H257" s="144"/>
      <c r="I257" s="144"/>
      <c r="J257" s="144"/>
      <c r="K257" s="144"/>
      <c r="L257" s="144"/>
    </row>
    <row r="258" spans="1:12">
      <c r="A258" s="2"/>
      <c r="B258" s="2"/>
      <c r="C258" s="2"/>
      <c r="D258" s="2"/>
      <c r="E258" s="2"/>
      <c r="F258" s="1"/>
      <c r="G258" s="1"/>
      <c r="H258" s="144"/>
      <c r="I258" s="144"/>
      <c r="J258" s="144"/>
      <c r="K258" s="144"/>
      <c r="L258" s="144"/>
    </row>
    <row r="259" spans="1:12">
      <c r="A259" s="2"/>
      <c r="B259" s="2"/>
      <c r="C259" s="2"/>
      <c r="D259" s="2"/>
      <c r="E259" s="2"/>
      <c r="F259" s="1"/>
      <c r="G259" s="1"/>
      <c r="H259" s="144"/>
      <c r="I259" s="144"/>
      <c r="J259" s="144"/>
      <c r="K259" s="144"/>
      <c r="L259" s="144"/>
    </row>
    <row r="260" spans="1:12">
      <c r="A260" s="2"/>
      <c r="B260" s="2"/>
      <c r="C260" s="2"/>
      <c r="D260" s="2"/>
      <c r="E260" s="2"/>
      <c r="F260" s="1"/>
      <c r="G260" s="1"/>
      <c r="H260" s="144"/>
      <c r="I260" s="144"/>
      <c r="J260" s="144"/>
      <c r="K260" s="144"/>
      <c r="L260" s="144"/>
    </row>
    <row r="261" spans="1:12">
      <c r="A261" s="2"/>
      <c r="B261" s="2"/>
      <c r="C261" s="2"/>
      <c r="D261" s="2"/>
      <c r="E261" s="2"/>
      <c r="F261" s="1"/>
      <c r="G261" s="1"/>
      <c r="H261" s="144"/>
      <c r="I261" s="144"/>
      <c r="J261" s="144"/>
      <c r="K261" s="144"/>
      <c r="L261" s="144"/>
    </row>
    <row r="262" spans="1:12">
      <c r="A262" s="2"/>
      <c r="B262" s="2"/>
      <c r="C262" s="2"/>
      <c r="D262" s="2"/>
      <c r="E262" s="2"/>
      <c r="F262" s="1"/>
      <c r="G262" s="1"/>
      <c r="H262" s="144"/>
      <c r="I262" s="144"/>
      <c r="J262" s="144"/>
      <c r="K262" s="144"/>
      <c r="L262" s="144"/>
    </row>
    <row r="263" spans="1:12">
      <c r="A263" s="2"/>
      <c r="B263" s="2"/>
      <c r="C263" s="2"/>
      <c r="D263" s="2"/>
      <c r="E263" s="2"/>
      <c r="F263" s="1"/>
      <c r="G263" s="1"/>
      <c r="H263" s="144"/>
      <c r="I263" s="144"/>
      <c r="J263" s="144"/>
      <c r="K263" s="144"/>
      <c r="L263" s="144"/>
    </row>
    <row r="264" spans="1:12">
      <c r="A264" s="2"/>
      <c r="B264" s="2"/>
      <c r="C264" s="2"/>
      <c r="D264" s="2"/>
      <c r="E264" s="2"/>
      <c r="F264" s="1"/>
      <c r="G264" s="1"/>
      <c r="H264" s="144"/>
      <c r="I264" s="144"/>
      <c r="J264" s="144"/>
      <c r="K264" s="144"/>
      <c r="L264" s="144"/>
    </row>
    <row r="265" spans="1:12">
      <c r="A265" s="2"/>
      <c r="B265" s="2"/>
      <c r="C265" s="2"/>
      <c r="D265" s="2"/>
      <c r="E265" s="2"/>
      <c r="F265" s="1"/>
      <c r="G265" s="1"/>
      <c r="H265" s="144"/>
      <c r="I265" s="144"/>
      <c r="J265" s="144"/>
      <c r="K265" s="144"/>
      <c r="L265" s="144"/>
    </row>
    <row r="266" spans="1:12">
      <c r="A266" s="2"/>
      <c r="B266" s="2"/>
      <c r="C266" s="2"/>
      <c r="D266" s="2"/>
      <c r="E266" s="2"/>
      <c r="F266" s="1"/>
      <c r="G266" s="1"/>
      <c r="H266" s="144"/>
      <c r="I266" s="144"/>
      <c r="J266" s="144"/>
      <c r="K266" s="144"/>
      <c r="L266" s="144"/>
    </row>
    <row r="267" spans="1:12">
      <c r="A267" s="2"/>
      <c r="B267" s="2"/>
      <c r="C267" s="2"/>
      <c r="D267" s="2"/>
      <c r="E267" s="2"/>
      <c r="F267" s="1"/>
      <c r="G267" s="1"/>
      <c r="H267" s="144"/>
      <c r="I267" s="144"/>
      <c r="J267" s="144"/>
      <c r="K267" s="144"/>
      <c r="L267" s="144"/>
    </row>
    <row r="268" spans="1:12">
      <c r="A268" s="2"/>
      <c r="B268" s="2"/>
      <c r="C268" s="2"/>
      <c r="D268" s="2"/>
      <c r="E268" s="2"/>
      <c r="F268" s="1"/>
      <c r="G268" s="1"/>
      <c r="H268" s="144"/>
      <c r="I268" s="144"/>
      <c r="J268" s="144"/>
      <c r="K268" s="144"/>
      <c r="L268" s="144"/>
    </row>
    <row r="269" spans="1:12">
      <c r="A269" s="2"/>
      <c r="B269" s="2"/>
      <c r="C269" s="2"/>
      <c r="D269" s="2"/>
      <c r="E269" s="2"/>
      <c r="F269" s="1"/>
      <c r="G269" s="1"/>
      <c r="H269" s="144"/>
      <c r="I269" s="144"/>
      <c r="J269" s="144"/>
      <c r="K269" s="144"/>
      <c r="L269" s="144"/>
    </row>
    <row r="270" spans="1:12">
      <c r="A270" s="2"/>
      <c r="B270" s="2"/>
      <c r="C270" s="2"/>
      <c r="D270" s="2"/>
      <c r="E270" s="2"/>
      <c r="F270" s="1"/>
      <c r="G270" s="1"/>
      <c r="H270" s="144"/>
      <c r="I270" s="144"/>
      <c r="J270" s="144"/>
      <c r="K270" s="144"/>
      <c r="L270" s="144"/>
    </row>
    <row r="271" spans="1:12">
      <c r="A271" s="2"/>
      <c r="B271" s="2"/>
      <c r="C271" s="2"/>
      <c r="D271" s="2"/>
      <c r="E271" s="2"/>
      <c r="F271" s="1"/>
      <c r="G271" s="1"/>
      <c r="H271" s="144"/>
      <c r="I271" s="144"/>
      <c r="J271" s="144"/>
      <c r="K271" s="144"/>
      <c r="L271" s="144"/>
    </row>
    <row r="272" spans="1:12">
      <c r="A272" s="2"/>
      <c r="B272" s="2"/>
      <c r="C272" s="2"/>
      <c r="D272" s="2"/>
      <c r="E272" s="2"/>
      <c r="F272" s="1"/>
      <c r="G272" s="1"/>
      <c r="H272" s="144"/>
      <c r="I272" s="144"/>
      <c r="J272" s="144"/>
      <c r="K272" s="144"/>
      <c r="L272" s="144"/>
    </row>
    <row r="273" spans="1:12">
      <c r="A273" s="2"/>
      <c r="B273" s="2"/>
      <c r="C273" s="2"/>
      <c r="D273" s="2"/>
      <c r="E273" s="2"/>
      <c r="F273" s="1"/>
      <c r="G273" s="1"/>
      <c r="H273" s="144"/>
      <c r="I273" s="144"/>
      <c r="J273" s="144"/>
      <c r="K273" s="144"/>
      <c r="L273" s="144"/>
    </row>
    <row r="274" spans="1:12">
      <c r="A274" s="2"/>
      <c r="B274" s="2"/>
      <c r="C274" s="2"/>
      <c r="D274" s="2"/>
      <c r="E274" s="2"/>
      <c r="F274" s="1"/>
      <c r="G274" s="1"/>
      <c r="H274" s="144"/>
      <c r="I274" s="144"/>
      <c r="J274" s="144"/>
      <c r="K274" s="144"/>
      <c r="L274" s="144"/>
    </row>
    <row r="275" spans="1:12">
      <c r="A275" s="2"/>
      <c r="B275" s="2"/>
      <c r="C275" s="2"/>
      <c r="D275" s="2"/>
      <c r="E275" s="2"/>
      <c r="F275" s="1"/>
      <c r="G275" s="1"/>
      <c r="H275" s="144"/>
      <c r="I275" s="144"/>
      <c r="J275" s="144"/>
      <c r="K275" s="144"/>
      <c r="L275" s="144"/>
    </row>
    <row r="276" spans="1:12">
      <c r="A276" s="2"/>
      <c r="B276" s="2"/>
      <c r="C276" s="2"/>
      <c r="D276" s="2"/>
      <c r="E276" s="2"/>
      <c r="F276" s="1"/>
      <c r="G276" s="1"/>
      <c r="H276" s="144"/>
      <c r="I276" s="144"/>
      <c r="J276" s="144"/>
      <c r="K276" s="144"/>
      <c r="L276" s="144"/>
    </row>
    <row r="277" spans="1:12">
      <c r="A277" s="2"/>
      <c r="B277" s="2"/>
      <c r="C277" s="2"/>
      <c r="D277" s="2"/>
      <c r="E277" s="2"/>
      <c r="F277" s="1"/>
      <c r="G277" s="1"/>
      <c r="H277" s="144"/>
      <c r="I277" s="144"/>
      <c r="J277" s="144"/>
      <c r="K277" s="144"/>
      <c r="L277" s="144"/>
    </row>
    <row r="278" spans="1:12">
      <c r="A278" s="2"/>
      <c r="B278" s="2"/>
      <c r="C278" s="2"/>
      <c r="D278" s="2"/>
      <c r="E278" s="2"/>
      <c r="F278" s="1"/>
      <c r="G278" s="1"/>
      <c r="H278" s="144"/>
      <c r="I278" s="144"/>
      <c r="J278" s="144"/>
      <c r="K278" s="144"/>
      <c r="L278" s="144"/>
    </row>
    <row r="279" spans="1:12">
      <c r="A279" s="2"/>
      <c r="B279" s="2"/>
      <c r="C279" s="2"/>
      <c r="D279" s="2"/>
      <c r="E279" s="2"/>
      <c r="F279" s="1"/>
      <c r="G279" s="1"/>
      <c r="H279" s="144"/>
      <c r="I279" s="144"/>
      <c r="J279" s="144"/>
      <c r="K279" s="144"/>
      <c r="L279" s="144"/>
    </row>
    <row r="280" spans="1:12">
      <c r="A280" s="2"/>
      <c r="B280" s="2"/>
      <c r="C280" s="2"/>
      <c r="D280" s="2"/>
      <c r="E280" s="2"/>
      <c r="F280" s="1"/>
      <c r="G280" s="1"/>
      <c r="H280" s="144"/>
      <c r="I280" s="144"/>
      <c r="J280" s="144"/>
      <c r="K280" s="144"/>
      <c r="L280" s="144"/>
    </row>
    <row r="281" spans="1:12">
      <c r="A281" s="2"/>
      <c r="B281" s="2"/>
      <c r="C281" s="2"/>
      <c r="D281" s="2"/>
      <c r="E281" s="2"/>
      <c r="F281" s="1"/>
      <c r="G281" s="1"/>
      <c r="H281" s="144"/>
      <c r="I281" s="144"/>
      <c r="J281" s="144"/>
      <c r="K281" s="144"/>
      <c r="L281" s="144"/>
    </row>
    <row r="282" spans="1:12">
      <c r="A282" s="2"/>
      <c r="B282" s="2"/>
      <c r="C282" s="2"/>
      <c r="D282" s="2"/>
      <c r="E282" s="2"/>
      <c r="F282" s="1"/>
      <c r="G282" s="1"/>
      <c r="H282" s="144"/>
      <c r="I282" s="144"/>
      <c r="J282" s="144"/>
      <c r="K282" s="144"/>
      <c r="L282" s="144"/>
    </row>
    <row r="283" spans="1:12">
      <c r="A283" s="2"/>
      <c r="B283" s="2"/>
      <c r="C283" s="2"/>
      <c r="D283" s="2"/>
      <c r="E283" s="2"/>
      <c r="F283" s="1"/>
      <c r="G283" s="1"/>
      <c r="H283" s="144"/>
      <c r="I283" s="144"/>
      <c r="J283" s="144"/>
      <c r="K283" s="144"/>
      <c r="L283" s="144"/>
    </row>
    <row r="284" spans="1:12">
      <c r="A284" s="2"/>
      <c r="B284" s="2"/>
      <c r="C284" s="2"/>
      <c r="D284" s="2"/>
      <c r="E284" s="2"/>
      <c r="F284" s="1"/>
      <c r="G284" s="1"/>
      <c r="H284" s="144"/>
      <c r="I284" s="144"/>
      <c r="J284" s="144"/>
      <c r="K284" s="144"/>
      <c r="L284" s="144"/>
    </row>
    <row r="285" spans="1:12">
      <c r="A285" s="2"/>
      <c r="B285" s="2"/>
      <c r="C285" s="2"/>
      <c r="D285" s="2"/>
      <c r="E285" s="2"/>
      <c r="F285" s="1"/>
      <c r="G285" s="1"/>
      <c r="H285" s="144"/>
      <c r="I285" s="144"/>
      <c r="J285" s="144"/>
      <c r="K285" s="144"/>
      <c r="L285" s="144"/>
    </row>
    <row r="286" spans="1:12">
      <c r="A286" s="2"/>
      <c r="B286" s="2"/>
      <c r="C286" s="2"/>
      <c r="D286" s="2"/>
      <c r="E286" s="2"/>
      <c r="F286" s="1"/>
      <c r="G286" s="1"/>
      <c r="H286" s="144"/>
      <c r="I286" s="144"/>
      <c r="J286" s="144"/>
      <c r="K286" s="144"/>
      <c r="L286" s="144"/>
    </row>
    <row r="287" spans="1:12">
      <c r="A287" s="2"/>
      <c r="B287" s="2"/>
      <c r="C287" s="2"/>
      <c r="D287" s="2"/>
      <c r="E287" s="2"/>
      <c r="F287" s="1"/>
      <c r="G287" s="1"/>
      <c r="H287" s="144"/>
      <c r="I287" s="144"/>
      <c r="J287" s="144"/>
      <c r="K287" s="144"/>
      <c r="L287" s="144"/>
    </row>
    <row r="288" spans="1:12">
      <c r="A288" s="2"/>
      <c r="B288" s="2"/>
      <c r="C288" s="2"/>
      <c r="D288" s="2"/>
      <c r="E288" s="2"/>
      <c r="F288" s="1"/>
      <c r="G288" s="1"/>
      <c r="H288" s="144"/>
      <c r="I288" s="144"/>
      <c r="J288" s="144"/>
      <c r="K288" s="144"/>
      <c r="L288" s="144"/>
    </row>
    <row r="289" spans="1:12">
      <c r="A289" s="2"/>
      <c r="B289" s="2"/>
      <c r="C289" s="2"/>
      <c r="D289" s="2"/>
      <c r="E289" s="2"/>
      <c r="F289" s="1"/>
      <c r="G289" s="1"/>
      <c r="H289" s="144"/>
      <c r="I289" s="144"/>
      <c r="J289" s="144"/>
      <c r="K289" s="144"/>
      <c r="L289" s="144"/>
    </row>
    <row r="290" spans="1:12">
      <c r="A290" s="2"/>
      <c r="B290" s="2"/>
      <c r="C290" s="2"/>
      <c r="D290" s="2"/>
      <c r="E290" s="2"/>
      <c r="F290" s="1"/>
      <c r="G290" s="1"/>
      <c r="H290" s="144"/>
      <c r="I290" s="144"/>
      <c r="J290" s="144"/>
      <c r="K290" s="144"/>
      <c r="L290" s="144"/>
    </row>
    <row r="291" spans="1:12">
      <c r="A291" s="2"/>
      <c r="B291" s="2"/>
      <c r="C291" s="2"/>
      <c r="D291" s="2"/>
      <c r="E291" s="2"/>
      <c r="F291" s="1"/>
      <c r="G291" s="1"/>
      <c r="H291" s="144"/>
      <c r="I291" s="144"/>
      <c r="J291" s="144"/>
      <c r="K291" s="144"/>
      <c r="L291" s="144"/>
    </row>
    <row r="292" spans="1:12">
      <c r="A292" s="2"/>
      <c r="B292" s="2"/>
      <c r="C292" s="2"/>
      <c r="D292" s="2"/>
      <c r="E292" s="2"/>
      <c r="F292" s="1"/>
      <c r="G292" s="1"/>
      <c r="H292" s="144"/>
      <c r="I292" s="144"/>
      <c r="J292" s="144"/>
      <c r="K292" s="144"/>
      <c r="L292" s="144"/>
    </row>
    <row r="293" spans="1:12">
      <c r="A293" s="2"/>
      <c r="B293" s="2"/>
      <c r="C293" s="2"/>
      <c r="D293" s="2"/>
      <c r="E293" s="2"/>
      <c r="F293" s="1"/>
      <c r="G293" s="1"/>
      <c r="H293" s="144"/>
      <c r="I293" s="144"/>
      <c r="J293" s="144"/>
      <c r="K293" s="144"/>
      <c r="L293" s="144"/>
    </row>
    <row r="294" spans="1:12">
      <c r="A294" s="2"/>
      <c r="B294" s="2"/>
      <c r="C294" s="2"/>
      <c r="D294" s="2"/>
      <c r="E294" s="2"/>
      <c r="F294" s="1"/>
      <c r="G294" s="1"/>
      <c r="H294" s="144"/>
      <c r="I294" s="144"/>
      <c r="J294" s="144"/>
      <c r="K294" s="144"/>
      <c r="L294" s="144"/>
    </row>
    <row r="295" spans="1:12">
      <c r="A295" s="2"/>
      <c r="B295" s="2"/>
      <c r="C295" s="2"/>
      <c r="D295" s="2"/>
      <c r="E295" s="2"/>
      <c r="F295" s="1"/>
      <c r="G295" s="1"/>
      <c r="H295" s="144"/>
      <c r="I295" s="144"/>
      <c r="J295" s="144"/>
      <c r="K295" s="144"/>
      <c r="L295" s="144"/>
    </row>
    <row r="296" spans="1:12">
      <c r="A296" s="2"/>
      <c r="B296" s="2"/>
      <c r="C296" s="2"/>
      <c r="D296" s="2"/>
      <c r="E296" s="2"/>
      <c r="F296" s="1"/>
      <c r="G296" s="1"/>
      <c r="H296" s="144"/>
      <c r="I296" s="144"/>
      <c r="J296" s="144"/>
      <c r="K296" s="144"/>
      <c r="L296" s="144"/>
    </row>
    <row r="297" spans="1:12">
      <c r="A297" s="2"/>
      <c r="B297" s="2"/>
      <c r="C297" s="2"/>
      <c r="D297" s="2"/>
      <c r="E297" s="2"/>
      <c r="F297" s="1"/>
      <c r="G297" s="1"/>
      <c r="H297" s="144"/>
      <c r="I297" s="144"/>
      <c r="J297" s="144"/>
      <c r="K297" s="144"/>
      <c r="L297" s="144"/>
    </row>
    <row r="298" spans="1:12">
      <c r="A298" s="2"/>
      <c r="B298" s="2"/>
      <c r="C298" s="2"/>
      <c r="D298" s="2"/>
      <c r="E298" s="2"/>
      <c r="F298" s="1"/>
      <c r="G298" s="1"/>
      <c r="H298" s="144"/>
      <c r="I298" s="144"/>
      <c r="J298" s="144"/>
      <c r="K298" s="144"/>
      <c r="L298" s="144"/>
    </row>
    <row r="299" spans="1:12">
      <c r="A299" s="2"/>
      <c r="B299" s="2"/>
      <c r="C299" s="2"/>
      <c r="D299" s="2"/>
      <c r="E299" s="2"/>
      <c r="F299" s="1"/>
      <c r="G299" s="1"/>
      <c r="H299" s="144"/>
      <c r="I299" s="144"/>
      <c r="J299" s="144"/>
      <c r="K299" s="144"/>
      <c r="L299" s="144"/>
    </row>
    <row r="300" spans="1:12">
      <c r="A300" s="2"/>
      <c r="B300" s="2"/>
      <c r="C300" s="2"/>
      <c r="D300" s="2"/>
      <c r="E300" s="2"/>
      <c r="F300" s="1"/>
      <c r="G300" s="1"/>
      <c r="H300" s="144"/>
      <c r="I300" s="144"/>
      <c r="J300" s="144"/>
      <c r="K300" s="144"/>
      <c r="L300" s="144"/>
    </row>
    <row r="301" spans="1:12">
      <c r="A301" s="2"/>
      <c r="B301" s="2"/>
      <c r="C301" s="2"/>
      <c r="D301" s="2"/>
      <c r="E301" s="2"/>
      <c r="F301" s="1"/>
      <c r="G301" s="1"/>
      <c r="H301" s="144"/>
      <c r="I301" s="144"/>
      <c r="J301" s="144"/>
      <c r="K301" s="144"/>
      <c r="L301" s="144"/>
    </row>
    <row r="302" spans="1:12">
      <c r="A302" s="2"/>
      <c r="B302" s="2"/>
      <c r="C302" s="2"/>
      <c r="D302" s="2"/>
      <c r="E302" s="2"/>
      <c r="F302" s="1"/>
      <c r="G302" s="1"/>
      <c r="H302" s="144"/>
      <c r="I302" s="144"/>
      <c r="J302" s="144"/>
      <c r="K302" s="144"/>
      <c r="L302" s="144"/>
    </row>
    <row r="303" spans="1:12">
      <c r="A303" s="2"/>
      <c r="B303" s="2"/>
      <c r="C303" s="2"/>
      <c r="D303" s="2"/>
      <c r="E303" s="2"/>
      <c r="F303" s="1"/>
      <c r="G303" s="1"/>
      <c r="H303" s="144"/>
      <c r="I303" s="144"/>
      <c r="J303" s="144"/>
      <c r="K303" s="144"/>
      <c r="L303" s="144"/>
    </row>
    <row r="304" spans="1:12">
      <c r="A304" s="2"/>
      <c r="B304" s="2"/>
      <c r="C304" s="2"/>
      <c r="D304" s="2"/>
      <c r="E304" s="2"/>
      <c r="F304" s="1"/>
      <c r="G304" s="1"/>
      <c r="H304" s="144"/>
      <c r="I304" s="144"/>
      <c r="J304" s="144"/>
      <c r="K304" s="144"/>
      <c r="L304" s="144"/>
    </row>
    <row r="305" spans="1:12">
      <c r="A305" s="2"/>
      <c r="B305" s="2"/>
      <c r="C305" s="2"/>
      <c r="D305" s="2"/>
      <c r="E305" s="2"/>
      <c r="F305" s="1"/>
      <c r="G305" s="1"/>
      <c r="H305" s="144"/>
      <c r="I305" s="144"/>
      <c r="J305" s="144"/>
      <c r="K305" s="144"/>
      <c r="L305" s="144"/>
    </row>
    <row r="306" spans="1:12">
      <c r="A306" s="2"/>
      <c r="B306" s="2"/>
      <c r="C306" s="2"/>
      <c r="D306" s="2"/>
      <c r="E306" s="2"/>
      <c r="F306" s="1"/>
      <c r="G306" s="1"/>
      <c r="H306" s="144"/>
      <c r="I306" s="144"/>
      <c r="J306" s="144"/>
      <c r="K306" s="144"/>
      <c r="L306" s="144"/>
    </row>
    <row r="307" spans="1:12">
      <c r="A307" s="2"/>
      <c r="B307" s="2"/>
      <c r="C307" s="2"/>
      <c r="D307" s="2"/>
      <c r="E307" s="2"/>
      <c r="F307" s="1"/>
      <c r="G307" s="1"/>
      <c r="H307" s="144"/>
      <c r="I307" s="144"/>
      <c r="J307" s="144"/>
      <c r="K307" s="144"/>
      <c r="L307" s="144"/>
    </row>
    <row r="308" spans="1:12">
      <c r="A308" s="2"/>
      <c r="B308" s="2"/>
      <c r="C308" s="2"/>
      <c r="D308" s="2"/>
      <c r="E308" s="2"/>
      <c r="F308" s="1"/>
      <c r="G308" s="1"/>
      <c r="H308" s="144"/>
      <c r="I308" s="144"/>
      <c r="J308" s="144"/>
      <c r="K308" s="144"/>
      <c r="L308" s="144"/>
    </row>
    <row r="309" spans="1:12">
      <c r="A309" s="2"/>
      <c r="B309" s="2"/>
      <c r="C309" s="2"/>
      <c r="D309" s="2"/>
      <c r="E309" s="2"/>
      <c r="F309" s="1"/>
      <c r="G309" s="1"/>
      <c r="H309" s="144"/>
      <c r="I309" s="144"/>
      <c r="J309" s="144"/>
      <c r="K309" s="144"/>
      <c r="L309" s="144"/>
    </row>
    <row r="310" spans="1:12">
      <c r="A310" s="2"/>
      <c r="B310" s="2"/>
      <c r="C310" s="2"/>
      <c r="D310" s="2"/>
      <c r="E310" s="2"/>
      <c r="F310" s="1"/>
      <c r="G310" s="1"/>
      <c r="H310" s="144"/>
      <c r="I310" s="144"/>
      <c r="J310" s="144"/>
      <c r="K310" s="144"/>
      <c r="L310" s="144"/>
    </row>
    <row r="311" spans="1:12">
      <c r="A311" s="2"/>
      <c r="B311" s="2"/>
      <c r="C311" s="2"/>
      <c r="D311" s="2"/>
      <c r="E311" s="2"/>
      <c r="F311" s="1"/>
      <c r="G311" s="1"/>
      <c r="H311" s="144"/>
      <c r="I311" s="144"/>
      <c r="J311" s="144"/>
      <c r="K311" s="144"/>
      <c r="L311" s="144"/>
    </row>
    <row r="312" spans="1:12">
      <c r="A312" s="2"/>
      <c r="B312" s="2"/>
      <c r="C312" s="2"/>
      <c r="D312" s="2"/>
      <c r="E312" s="2"/>
      <c r="F312" s="1"/>
      <c r="G312" s="1"/>
      <c r="H312" s="144"/>
      <c r="I312" s="144"/>
      <c r="J312" s="144"/>
      <c r="K312" s="144"/>
      <c r="L312" s="144"/>
    </row>
    <row r="313" spans="1:12">
      <c r="A313" s="2"/>
      <c r="B313" s="2"/>
      <c r="C313" s="2"/>
      <c r="D313" s="2"/>
      <c r="E313" s="2"/>
      <c r="F313" s="1"/>
      <c r="G313" s="1"/>
      <c r="H313" s="144"/>
      <c r="I313" s="144"/>
      <c r="J313" s="144"/>
      <c r="K313" s="144"/>
      <c r="L313" s="144"/>
    </row>
    <row r="314" spans="1:12">
      <c r="A314" s="2"/>
      <c r="B314" s="2"/>
      <c r="C314" s="2"/>
      <c r="D314" s="2"/>
      <c r="E314" s="2"/>
      <c r="F314" s="1"/>
      <c r="G314" s="1"/>
      <c r="H314" s="144"/>
      <c r="I314" s="144"/>
      <c r="J314" s="144"/>
      <c r="K314" s="144"/>
      <c r="L314" s="144"/>
    </row>
    <row r="315" spans="1:12">
      <c r="A315" s="2"/>
      <c r="B315" s="2"/>
      <c r="C315" s="2"/>
      <c r="D315" s="2"/>
      <c r="E315" s="2"/>
      <c r="F315" s="1"/>
      <c r="G315" s="1"/>
      <c r="H315" s="144"/>
      <c r="I315" s="144"/>
      <c r="J315" s="144"/>
      <c r="K315" s="144"/>
      <c r="L315" s="144"/>
    </row>
    <row r="316" spans="1:12">
      <c r="A316" s="2"/>
      <c r="B316" s="2"/>
      <c r="C316" s="2"/>
      <c r="D316" s="2"/>
      <c r="E316" s="2"/>
      <c r="F316" s="1"/>
      <c r="G316" s="1"/>
      <c r="H316" s="144"/>
      <c r="I316" s="144"/>
      <c r="J316" s="144"/>
      <c r="K316" s="144"/>
      <c r="L316" s="144"/>
    </row>
    <row r="317" spans="1:12">
      <c r="A317" s="2"/>
      <c r="B317" s="2"/>
      <c r="C317" s="2"/>
      <c r="D317" s="2"/>
      <c r="E317" s="2"/>
      <c r="F317" s="1"/>
      <c r="G317" s="1"/>
      <c r="H317" s="144"/>
      <c r="I317" s="144"/>
      <c r="J317" s="144"/>
      <c r="K317" s="144"/>
      <c r="L317" s="144"/>
    </row>
    <row r="318" spans="1:12">
      <c r="A318" s="2"/>
      <c r="B318" s="2"/>
      <c r="C318" s="2"/>
      <c r="D318" s="2"/>
      <c r="E318" s="2"/>
      <c r="F318" s="1"/>
      <c r="G318" s="1"/>
      <c r="H318" s="144"/>
      <c r="I318" s="144"/>
      <c r="J318" s="144"/>
      <c r="K318" s="144"/>
      <c r="L318" s="144"/>
    </row>
    <row r="319" spans="1:12">
      <c r="A319" s="2"/>
      <c r="B319" s="2"/>
      <c r="C319" s="2"/>
      <c r="D319" s="2"/>
      <c r="E319" s="2"/>
      <c r="F319" s="1"/>
      <c r="G319" s="1"/>
      <c r="H319" s="144"/>
      <c r="I319" s="144"/>
      <c r="J319" s="144"/>
      <c r="K319" s="144"/>
      <c r="L319" s="144"/>
    </row>
    <row r="320" spans="1:12">
      <c r="A320" s="2"/>
      <c r="B320" s="2"/>
      <c r="C320" s="2"/>
      <c r="D320" s="2"/>
      <c r="E320" s="2"/>
      <c r="F320" s="1"/>
      <c r="G320" s="1"/>
      <c r="H320" s="144"/>
      <c r="I320" s="144"/>
      <c r="J320" s="144"/>
      <c r="K320" s="144"/>
      <c r="L320" s="144"/>
    </row>
    <row r="321" spans="1:12">
      <c r="A321" s="2"/>
      <c r="B321" s="2"/>
      <c r="C321" s="2"/>
      <c r="D321" s="2"/>
      <c r="E321" s="2"/>
      <c r="F321" s="1"/>
      <c r="G321" s="1"/>
      <c r="H321" s="144"/>
      <c r="I321" s="144"/>
      <c r="J321" s="144"/>
      <c r="K321" s="144"/>
      <c r="L321" s="144"/>
    </row>
    <row r="322" spans="1:12">
      <c r="A322" s="2"/>
      <c r="B322" s="2"/>
      <c r="C322" s="2"/>
      <c r="D322" s="2"/>
      <c r="E322" s="2"/>
      <c r="F322" s="1"/>
      <c r="G322" s="1"/>
      <c r="H322" s="144"/>
      <c r="I322" s="144"/>
      <c r="J322" s="144"/>
      <c r="K322" s="144"/>
      <c r="L322" s="144"/>
    </row>
    <row r="323" spans="1:12">
      <c r="A323" s="2"/>
      <c r="B323" s="2"/>
      <c r="C323" s="2"/>
      <c r="D323" s="2"/>
      <c r="E323" s="2"/>
      <c r="F323" s="1"/>
      <c r="G323" s="1"/>
      <c r="H323" s="144"/>
      <c r="I323" s="144"/>
      <c r="J323" s="144"/>
      <c r="K323" s="144"/>
      <c r="L323" s="144"/>
    </row>
  </sheetData>
  <pageMargins left="0.7" right="0.7" top="0.75" bottom="0.75" header="0.3" footer="0.3"/>
  <pageSetup paperSize="9"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Кратко Смета</vt:lpstr>
      <vt:lpstr>Смета_лит.Е</vt:lpstr>
      <vt:lpstr>Расчеты</vt:lpstr>
      <vt:lpstr>Доп.</vt: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ZAPEVALOV</cp:lastModifiedBy>
  <cp:lastPrinted>2023-02-01T09:32:12Z</cp:lastPrinted>
  <dcterms:created xsi:type="dcterms:W3CDTF">2016-06-25T17:20:41Z</dcterms:created>
  <dcterms:modified xsi:type="dcterms:W3CDTF">2023-05-01T09:28:09Z</dcterms:modified>
</cp:coreProperties>
</file>