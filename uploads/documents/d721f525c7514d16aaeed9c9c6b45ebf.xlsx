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C5" i="1" l="1"/>
  <c r="K5" i="1"/>
  <c r="J5" i="1"/>
  <c r="I2" i="1"/>
  <c r="H2" i="1"/>
  <c r="E2" i="1" l="1"/>
  <c r="D5" i="1"/>
</calcChain>
</file>

<file path=xl/sharedStrings.xml><?xml version="1.0" encoding="utf-8"?>
<sst xmlns="http://schemas.openxmlformats.org/spreadsheetml/2006/main" count="18" uniqueCount="18">
  <si>
    <t>Исполнитель</t>
  </si>
  <si>
    <t>Работы</t>
  </si>
  <si>
    <t>Цена без налогов</t>
  </si>
  <si>
    <t>Цена с налогами</t>
  </si>
  <si>
    <t>Богачук Сергей Николаевич</t>
  </si>
  <si>
    <t>Гипсокартонные работы</t>
  </si>
  <si>
    <t>ИП Чернат</t>
  </si>
  <si>
    <t>Гипсокартонные работы Договор №210</t>
  </si>
  <si>
    <t>Власов Александр Владимирович</t>
  </si>
  <si>
    <t>Монтаж потолка ГКЛ</t>
  </si>
  <si>
    <t>Итого</t>
  </si>
  <si>
    <t>Стоимость одного помещения (Заплатили)</t>
  </si>
  <si>
    <t>Стоимость одного помещения стены (Получим)</t>
  </si>
  <si>
    <t>Стоимость одного помещения перегородки и потолок минус вывод 20% (Получим)</t>
  </si>
  <si>
    <t xml:space="preserve">Стоимость одного помещения перегородки и потолок </t>
  </si>
  <si>
    <t>Стоимость одного помещения (получим)</t>
  </si>
  <si>
    <t>Итого Получим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</si>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</sst>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F11" sqref="F11"/>
    </sheetView>
  </sheetViews>
  <sheetFormatPr defaultRowHeight="15" x14ac:dyDescent="0.25"/>
  <cols>
    <col min="1" max="1" width="16" customWidth="1"/>
    <col min="2" max="2" width="24.5703125" customWidth="1"/>
    <col min="3" max="3" width="11.5703125" customWidth="1"/>
    <col min="4" max="4" width="10.5703125" customWidth="1"/>
    <col min="5" max="5" width="17.85546875" customWidth="1"/>
    <col min="6" max="6" width="17" customWidth="1"/>
    <col min="7" max="7" width="21.85546875" customWidth="1"/>
    <col min="8" max="8" width="26.140625" customWidth="1"/>
    <col min="9" max="9" width="17.28515625" customWidth="1"/>
    <col min="10" max="10" width="10.5703125" customWidth="1"/>
    <col min="11" max="11" width="11.28515625" customWidth="1"/>
  </cols>
  <sheetData>
    <row r="1" spans="1:11" s="7" customFormat="1" ht="72.75" customHeight="1" x14ac:dyDescent="0.25">
      <c r="A1" s="6" t="s">
        <v>0</v>
      </c>
      <c r="B1" s="6" t="s">
        <v>1</v>
      </c>
      <c r="C1" s="3" t="s">
        <v>2</v>
      </c>
      <c r="D1" s="3" t="s">
        <v>3</v>
      </c>
      <c r="E1" s="8" t="s">
        <v>11</v>
      </c>
      <c r="F1" s="3" t="s">
        <v>12</v>
      </c>
      <c r="G1" s="3" t="s">
        <v>14</v>
      </c>
      <c r="H1" s="3" t="s">
        <v>13</v>
      </c>
      <c r="I1" s="3" t="s">
        <v>15</v>
      </c>
      <c r="J1" s="3" t="s">
        <v>16</v>
      </c>
      <c r="K1" s="6" t="s">
        <v>17</v>
      </c>
    </row>
    <row r="2" spans="1:11" ht="30" x14ac:dyDescent="0.25">
      <c r="A2" s="2" t="s">
        <v>4</v>
      </c>
      <c r="B2" s="2" t="s">
        <v>5</v>
      </c>
      <c r="C2" s="1">
        <v>112873.8</v>
      </c>
      <c r="D2" s="1">
        <v>168921.48</v>
      </c>
      <c r="E2" s="15">
        <f>D5/4</f>
        <v>180851.13750000001</v>
      </c>
      <c r="F2" s="15">
        <v>87700</v>
      </c>
      <c r="G2" s="18">
        <v>99150</v>
      </c>
      <c r="H2" s="18">
        <f>G2*0.8</f>
        <v>79320</v>
      </c>
      <c r="I2" s="15">
        <f>H2+F2</f>
        <v>167020</v>
      </c>
      <c r="J2" s="9"/>
      <c r="K2" s="10"/>
    </row>
    <row r="3" spans="1:11" ht="30" x14ac:dyDescent="0.25">
      <c r="A3" s="1" t="s">
        <v>6</v>
      </c>
      <c r="B3" s="2" t="s">
        <v>7</v>
      </c>
      <c r="C3" s="5">
        <v>487710</v>
      </c>
      <c r="D3" s="5">
        <v>487710</v>
      </c>
      <c r="E3" s="16"/>
      <c r="F3" s="16"/>
      <c r="G3" s="18"/>
      <c r="H3" s="18"/>
      <c r="I3" s="13"/>
      <c r="J3" s="9"/>
      <c r="K3" s="11"/>
    </row>
    <row r="4" spans="1:11" ht="45" x14ac:dyDescent="0.25">
      <c r="A4" s="4" t="s">
        <v>8</v>
      </c>
      <c r="B4" s="1" t="s">
        <v>9</v>
      </c>
      <c r="C4" s="1">
        <v>44617.95</v>
      </c>
      <c r="D4" s="1">
        <v>66773.070000000007</v>
      </c>
      <c r="E4" s="17"/>
      <c r="F4" s="17"/>
      <c r="G4" s="18"/>
      <c r="H4" s="18"/>
      <c r="I4" s="14"/>
      <c r="J4" s="9"/>
      <c r="K4" s="12"/>
    </row>
    <row r="5" spans="1:11" x14ac:dyDescent="0.25">
      <c r="A5" s="1" t="s">
        <v>10</v>
      </c>
      <c r="B5" s="1"/>
      <c r="C5" s="1">
        <f>SUM(C2:C4)</f>
        <v>645201.75</v>
      </c>
      <c r="D5" s="1">
        <f>SUM(D2:D4)</f>
        <v>723404.55</v>
      </c>
      <c r="E5" s="1"/>
      <c r="F5" s="1"/>
      <c r="G5" s="1"/>
      <c r="H5" s="1"/>
      <c r="I5" s="1"/>
      <c r="J5" s="5">
        <f>I2*4</f>
        <v>668080</v>
      </c>
      <c r="K5" s="19">
        <f>J5-D5</f>
        <v>-55324.550000000047</v>
      </c>
    </row>
  </sheetData>
  <mergeCells count="7">
    <mergeCell ref="K2:K4"/>
    <mergeCell ref="E2:E4"/>
    <mergeCell ref="F2:F4"/>
    <mergeCell ref="G2:G4"/>
    <mergeCell ref="H2:H4"/>
    <mergeCell ref="I2:I4"/>
    <mergeCell ref="J2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2023-06-30T11:08:06Z</dcterms:modified>
</cp:coreProperties>
</file>