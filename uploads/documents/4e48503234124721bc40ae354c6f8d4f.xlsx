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Материалы" sheetId="2" r:id="rId1"/>
    <sheet name="Расчеты" sheetId="3" state="hidden" r:id="rId2"/>
  </sheets>
  <calcPr calcId="144525"/>
  <extLst>
    <ext uri="GoogleSheetsCustomDataVersion1">
      <go:sheetsCustomData xmlns:go="http://customooxmlschemas.google.com/" r:id="" roundtripDataSignature="AMtx7mgbWVjNUfBCbSr29CtwwLBPrlmUEw=="/>
    </ext>
  </extLst>
</workbook>
</file>

<file path=xl/calcChain.xml><?xml version="1.0" encoding="utf-8"?>
<calcChain xmlns="http://schemas.openxmlformats.org/spreadsheetml/2006/main">
  <c r="D23" i="3" l="1"/>
  <c r="F18" i="3"/>
  <c r="F14" i="3"/>
  <c r="D14" i="3"/>
  <c r="D10" i="3"/>
  <c r="C4" i="3"/>
  <c r="D4" i="3" s="1"/>
  <c r="C3" i="3"/>
  <c r="D3" i="3" s="1"/>
  <c r="C2" i="3"/>
  <c r="D2" i="3" s="1"/>
  <c r="C34" i="3"/>
  <c r="D34" i="3" s="1"/>
  <c r="E33" i="3"/>
  <c r="F33" i="3" s="1"/>
  <c r="E28" i="3"/>
  <c r="F28" i="3" s="1"/>
  <c r="E27" i="3"/>
  <c r="F27" i="3" s="1"/>
  <c r="C25" i="3"/>
  <c r="D25" i="3" s="1"/>
  <c r="E2" i="3" l="1"/>
  <c r="E4" i="3"/>
  <c r="F4" i="3" s="1"/>
  <c r="C5" i="3"/>
  <c r="D5" i="3" s="1"/>
  <c r="C6" i="3"/>
  <c r="D6" i="3" s="1"/>
  <c r="C7" i="3"/>
  <c r="D7" i="3" s="1"/>
  <c r="C8" i="3"/>
  <c r="D8" i="3" s="1"/>
  <c r="E9" i="3"/>
  <c r="F9" i="3" s="1"/>
  <c r="E11" i="3"/>
  <c r="F11" i="3" s="1"/>
  <c r="C12" i="3"/>
  <c r="D12" i="3" s="1"/>
  <c r="C15" i="3"/>
  <c r="D15" i="3" s="1"/>
  <c r="E16" i="3"/>
  <c r="F16" i="3" s="1"/>
  <c r="E17" i="3"/>
  <c r="F17" i="3" s="1"/>
  <c r="E26" i="3"/>
  <c r="F26" i="3" s="1"/>
  <c r="C29" i="3"/>
  <c r="D29" i="3" s="1"/>
  <c r="E30" i="3"/>
  <c r="F30" i="3" s="1"/>
  <c r="E31" i="3"/>
  <c r="F31" i="3" s="1"/>
  <c r="E32" i="3"/>
  <c r="F32" i="3" s="1"/>
  <c r="E3" i="3"/>
  <c r="F3" i="3" s="1"/>
  <c r="E5" i="3"/>
  <c r="F5" i="3" s="1"/>
  <c r="E6" i="3"/>
  <c r="F6" i="3" s="1"/>
  <c r="E7" i="3"/>
  <c r="F7" i="3" s="1"/>
  <c r="E8" i="3"/>
  <c r="F8" i="3" s="1"/>
  <c r="C9" i="3"/>
  <c r="D9" i="3" s="1"/>
  <c r="E10" i="3"/>
  <c r="F10" i="3" s="1"/>
  <c r="C11" i="3"/>
  <c r="D11" i="3" s="1"/>
  <c r="E13" i="3"/>
  <c r="F13" i="3" s="1"/>
  <c r="E15" i="3"/>
  <c r="F15" i="3" s="1"/>
  <c r="C16" i="3"/>
  <c r="D16" i="3" s="1"/>
  <c r="C17" i="3"/>
  <c r="D17" i="3" s="1"/>
  <c r="E19" i="3"/>
  <c r="F19" i="3" s="1"/>
  <c r="C20" i="3"/>
  <c r="D20" i="3" s="1"/>
  <c r="C21" i="3"/>
  <c r="D21" i="3" s="1"/>
  <c r="E22" i="3"/>
  <c r="F22" i="3" s="1"/>
  <c r="E24" i="3"/>
  <c r="F24" i="3" s="1"/>
  <c r="C13" i="3"/>
  <c r="D13" i="3" s="1"/>
  <c r="E20" i="3"/>
  <c r="F20" i="3" s="1"/>
  <c r="E21" i="3"/>
  <c r="F21" i="3" s="1"/>
  <c r="E23" i="3"/>
  <c r="F23" i="3" s="1"/>
  <c r="C24" i="3"/>
  <c r="D24" i="3" s="1"/>
  <c r="E29" i="3"/>
  <c r="F29" i="3" s="1"/>
  <c r="C30" i="3"/>
  <c r="D30" i="3" s="1"/>
  <c r="C31" i="3"/>
  <c r="D31" i="3" s="1"/>
  <c r="C32" i="3"/>
  <c r="D32" i="3" s="1"/>
  <c r="C35" i="3"/>
  <c r="D35" i="3" s="1"/>
  <c r="E25" i="3"/>
  <c r="F25" i="3" s="1"/>
  <c r="C27" i="3"/>
  <c r="D27" i="3" s="1"/>
  <c r="C28" i="3"/>
  <c r="D28" i="3" s="1"/>
  <c r="C33" i="3"/>
  <c r="D33" i="3" s="1"/>
  <c r="E34" i="3"/>
  <c r="F34" i="3" s="1"/>
  <c r="E35" i="3"/>
  <c r="F35" i="3" s="1"/>
  <c r="C26" i="3" l="1"/>
  <c r="D26" i="3" s="1"/>
  <c r="E12" i="3"/>
  <c r="F12" i="3" s="1"/>
  <c r="C19" i="3"/>
  <c r="F2" i="3"/>
  <c r="F38" i="3" s="1"/>
  <c r="E38" i="3" l="1"/>
  <c r="D19" i="3"/>
  <c r="D38" i="3" s="1"/>
  <c r="F39" i="3" s="1"/>
  <c r="C38" i="3"/>
  <c r="D39" i="3" s="1"/>
  <c r="H39" i="3" l="1"/>
</calcChain>
</file>

<file path=xl/sharedStrings.xml><?xml version="1.0" encoding="utf-8"?>
<sst xmlns="http://schemas.openxmlformats.org/spreadsheetml/2006/main" count="94" uniqueCount="81">
  <si>
    <t>№</t>
  </si>
  <si>
    <t>Наименование работ</t>
  </si>
  <si>
    <t>Стоимость работ (план)</t>
  </si>
  <si>
    <t>Додемонтаж</t>
  </si>
  <si>
    <t>Выямка грунта для полов</t>
  </si>
  <si>
    <t>Кладочные работы (закладка окон)3100 кирипича 6 м3 с оставлением отверстий под вентиляцию</t>
  </si>
  <si>
    <t>Монтаж окон с отливами (без подоконников и откосов)</t>
  </si>
  <si>
    <t>Монтаж входных дверей (без отделки)</t>
  </si>
  <si>
    <t>Устройство временного освещения и отопления</t>
  </si>
  <si>
    <t>Монтаж водоотведения</t>
  </si>
  <si>
    <t>Подвод горячего водоснабжения и системы отопления</t>
  </si>
  <si>
    <t>Черновой монтаж ГВС и ХВС</t>
  </si>
  <si>
    <t>Полы (пирог по грунту)</t>
  </si>
  <si>
    <t>Полы финальная стяжка</t>
  </si>
  <si>
    <t>Разметка помщений</t>
  </si>
  <si>
    <t>Черновые электромонтажные работы (+Слаботочка выполняется, но считается отдельно)</t>
  </si>
  <si>
    <t>Прокладка вентиляции</t>
  </si>
  <si>
    <t>Обшивка стен ГКЛ</t>
  </si>
  <si>
    <t>Монтаж электрощита и подключение временного освещения</t>
  </si>
  <si>
    <t>Монтаж перегородок ГКЛ</t>
  </si>
  <si>
    <t>Монтаж потолка ГКЛ</t>
  </si>
  <si>
    <t>Отделка потолка черновая</t>
  </si>
  <si>
    <t>Монтаж подоконников и откосов</t>
  </si>
  <si>
    <t>Отделка входных дверей</t>
  </si>
  <si>
    <t>Отделка стен черновая</t>
  </si>
  <si>
    <t>Монтаж системы отопления</t>
  </si>
  <si>
    <t>Укладка плитки на стены</t>
  </si>
  <si>
    <t>Укладка плитки на пол</t>
  </si>
  <si>
    <t>Монтаж реечного потолка ванна</t>
  </si>
  <si>
    <t xml:space="preserve">Чистовая отделка потолка </t>
  </si>
  <si>
    <t>Чистовая отделка стен</t>
  </si>
  <si>
    <t xml:space="preserve">Укладка ламината </t>
  </si>
  <si>
    <t>Монтаж межкомнатных дверей</t>
  </si>
  <si>
    <t>Установка плинтусов</t>
  </si>
  <si>
    <t>Чистовые электромонтажные работы</t>
  </si>
  <si>
    <t>Установка сантехники</t>
  </si>
  <si>
    <t>Итого:</t>
  </si>
  <si>
    <t>№ п/п</t>
  </si>
  <si>
    <t>Ед.   изм.</t>
  </si>
  <si>
    <t>Кол-во</t>
  </si>
  <si>
    <t>Примечание</t>
  </si>
  <si>
    <t>м.п.</t>
  </si>
  <si>
    <t>4</t>
  </si>
  <si>
    <t>шт</t>
  </si>
  <si>
    <t>7</t>
  </si>
  <si>
    <t>8</t>
  </si>
  <si>
    <t>9</t>
  </si>
  <si>
    <t>10</t>
  </si>
  <si>
    <t>11</t>
  </si>
  <si>
    <t>12</t>
  </si>
  <si>
    <t>Стоимость материалов (план)</t>
  </si>
  <si>
    <t>Стоимость материалов (факт)</t>
  </si>
  <si>
    <t>Стоимость работ (факт)</t>
  </si>
  <si>
    <t>Демонтажные работы</t>
  </si>
  <si>
    <t>Учтено выше.  Это для порядка работ</t>
  </si>
  <si>
    <t>учтены выше</t>
  </si>
  <si>
    <t>План:</t>
  </si>
  <si>
    <t>Факт:</t>
  </si>
  <si>
    <t>Разница:</t>
  </si>
  <si>
    <t>СПИСОК МАТЕРИАЛОВ</t>
  </si>
  <si>
    <t>Наименование работ и материалов</t>
  </si>
  <si>
    <t>полученных от Пластинина</t>
  </si>
  <si>
    <t>1</t>
  </si>
  <si>
    <t>2</t>
  </si>
  <si>
    <t>3</t>
  </si>
  <si>
    <t>5</t>
  </si>
  <si>
    <t>6</t>
  </si>
  <si>
    <t>Труба канализационная д110 1000мм</t>
  </si>
  <si>
    <t>Отвод д110 45 градусов</t>
  </si>
  <si>
    <t>Тройник д110 90 градусов</t>
  </si>
  <si>
    <t>Заглушка д110</t>
  </si>
  <si>
    <t>Крестовина д110</t>
  </si>
  <si>
    <t>Переход с д110 на д50</t>
  </si>
  <si>
    <t>Уголок 65*65 2000мм</t>
  </si>
  <si>
    <t>Полоса 50*3000мм</t>
  </si>
  <si>
    <t>ПНД труба д32</t>
  </si>
  <si>
    <t>Правило с уровнем 3000мм</t>
  </si>
  <si>
    <t>Уголок 50*50 2000мм</t>
  </si>
  <si>
    <t>Отлив 150мм</t>
  </si>
  <si>
    <t>Отлив 200мм</t>
  </si>
  <si>
    <t>Нащельник для сэндвич панели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</si>
</sst>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р.-419]#,##0.00"/>
    <numFmt numFmtId="165" formatCode="#,##0.00\ &quot;₽&quot;"/>
  </numFmts>
  <fonts count="22">
    <font>
      <sz val="11"/>
      <color rgb="FF000000"/>
      <name val="Calibri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9"/>
      <color rgb="FF00000A"/>
      <name val="Times New Roman"/>
    </font>
    <font>
      <sz val="10"/>
      <color theme="1"/>
      <name val="Times New Roman"/>
    </font>
    <font>
      <b/>
      <sz val="13"/>
      <color theme="1"/>
      <name val="Times New Roman"/>
    </font>
    <font>
      <b/>
      <sz val="12"/>
      <color theme="1"/>
      <name val="Times New Roman"/>
    </font>
    <font>
      <b/>
      <i/>
      <sz val="12"/>
      <color theme="1"/>
      <name val="Times New Roman"/>
    </font>
    <font>
      <b/>
      <sz val="11"/>
      <color rgb="FF000000"/>
      <name val="Calibri"/>
    </font>
    <font>
      <sz val="12"/>
      <color theme="1"/>
      <name val="Times New Roman"/>
    </font>
    <font>
      <sz val="11"/>
      <color rgb="FF000000"/>
      <name val="Calibri"/>
    </font>
    <font>
      <i/>
      <sz val="11"/>
      <color theme="1"/>
      <name val="Times New Roman"/>
    </font>
    <font>
      <i/>
      <sz val="12"/>
      <color theme="1"/>
      <name val="Times New Roman"/>
    </font>
    <font>
      <i/>
      <sz val="12"/>
      <color rgb="FF00000A"/>
      <name val="Times New Roman"/>
    </font>
    <font>
      <b/>
      <sz val="12"/>
      <color rgb="FF28343A"/>
      <name val="Montserrat"/>
    </font>
    <font>
      <sz val="12"/>
      <color rgb="FF28343A"/>
      <name val="Montserrat"/>
    </font>
    <font>
      <b/>
      <sz val="11"/>
      <color theme="1"/>
      <name val="Calibri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color rgb="FF00000A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theme="9"/>
        <bgColor theme="9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165" fontId="2" fillId="0" borderId="2" xfId="0" applyNumberFormat="1" applyFont="1" applyBorder="1"/>
    <xf numFmtId="0" fontId="2" fillId="0" borderId="2" xfId="0" applyFont="1" applyBorder="1"/>
    <xf numFmtId="0" fontId="2" fillId="3" borderId="2" xfId="0" applyFont="1" applyFill="1" applyBorder="1"/>
    <xf numFmtId="164" fontId="2" fillId="0" borderId="0" xfId="0" applyNumberFormat="1" applyFont="1"/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8" fillId="4" borderId="5" xfId="0" applyFont="1" applyFill="1" applyBorder="1"/>
    <xf numFmtId="0" fontId="10" fillId="4" borderId="5" xfId="0" applyFont="1" applyFill="1" applyBorder="1"/>
    <xf numFmtId="0" fontId="1" fillId="4" borderId="5" xfId="0" applyFont="1" applyFill="1" applyBorder="1"/>
    <xf numFmtId="0" fontId="14" fillId="4" borderId="5" xfId="0" applyFont="1" applyFill="1" applyBorder="1"/>
    <xf numFmtId="0" fontId="15" fillId="5" borderId="5" xfId="0" applyFont="1" applyFill="1" applyBorder="1"/>
    <xf numFmtId="0" fontId="16" fillId="4" borderId="5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/>
    </xf>
    <xf numFmtId="165" fontId="2" fillId="0" borderId="14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/>
    </xf>
    <xf numFmtId="165" fontId="2" fillId="3" borderId="14" xfId="0" applyNumberFormat="1" applyFont="1" applyFill="1" applyBorder="1" applyAlignment="1">
      <alignment horizontal="right"/>
    </xf>
    <xf numFmtId="165" fontId="2" fillId="3" borderId="15" xfId="0" applyNumberFormat="1" applyFont="1" applyFill="1" applyBorder="1" applyAlignment="1">
      <alignment horizontal="right"/>
    </xf>
    <xf numFmtId="165" fontId="2" fillId="3" borderId="16" xfId="0" applyNumberFormat="1" applyFont="1" applyFill="1" applyBorder="1" applyAlignment="1">
      <alignment horizontal="right"/>
    </xf>
    <xf numFmtId="165" fontId="2" fillId="0" borderId="0" xfId="0" applyNumberFormat="1" applyFont="1"/>
    <xf numFmtId="0" fontId="0" fillId="0" borderId="0" xfId="0" applyFont="1" applyAlignment="1"/>
    <xf numFmtId="0" fontId="3" fillId="0" borderId="0" xfId="0" applyFont="1" applyAlignment="1">
      <alignment horizontal="left"/>
    </xf>
    <xf numFmtId="0" fontId="0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49" fontId="11" fillId="0" borderId="3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right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4" fontId="1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/>
    <xf numFmtId="0" fontId="13" fillId="0" borderId="2" xfId="0" applyFont="1" applyFill="1" applyBorder="1" applyAlignment="1">
      <alignment horizontal="right" wrapText="1"/>
    </xf>
    <xf numFmtId="49" fontId="17" fillId="0" borderId="3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4" fontId="1" fillId="0" borderId="13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center" vertical="center" wrapText="1"/>
    </xf>
    <xf numFmtId="4" fontId="2" fillId="0" borderId="13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/>
    <xf numFmtId="0" fontId="12" fillId="0" borderId="2" xfId="0" applyFont="1" applyFill="1" applyBorder="1" applyAlignment="1">
      <alignment horizontal="righ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6" fillId="0" borderId="2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wrapText="1"/>
    </xf>
    <xf numFmtId="0" fontId="7" fillId="0" borderId="12" xfId="0" applyFont="1" applyFill="1" applyBorder="1" applyAlignment="1">
      <alignment horizontal="center" wrapText="1"/>
    </xf>
    <xf numFmtId="0" fontId="16" fillId="0" borderId="12" xfId="0" applyFont="1" applyFill="1" applyBorder="1"/>
    <xf numFmtId="4" fontId="16" fillId="0" borderId="12" xfId="0" applyNumberFormat="1" applyFont="1" applyFill="1" applyBorder="1"/>
    <xf numFmtId="49" fontId="1" fillId="0" borderId="4" xfId="0" applyNumberFormat="1" applyFont="1" applyFill="1" applyBorder="1" applyAlignment="1">
      <alignment horizontal="center" wrapText="1"/>
    </xf>
    <xf numFmtId="0" fontId="7" fillId="0" borderId="13" xfId="0" applyFont="1" applyFill="1" applyBorder="1" applyAlignment="1">
      <alignment horizontal="center" wrapText="1"/>
    </xf>
    <xf numFmtId="0" fontId="16" fillId="0" borderId="13" xfId="0" applyFont="1" applyFill="1" applyBorder="1"/>
    <xf numFmtId="4" fontId="16" fillId="0" borderId="13" xfId="0" applyNumberFormat="1" applyFont="1" applyFill="1" applyBorder="1"/>
    <xf numFmtId="0" fontId="12" fillId="0" borderId="3" xfId="0" applyFont="1" applyFill="1" applyBorder="1" applyAlignment="1">
      <alignment horizontal="right" vertical="top" wrapText="1"/>
    </xf>
    <xf numFmtId="0" fontId="1" fillId="0" borderId="2" xfId="0" applyFont="1" applyFill="1" applyBorder="1"/>
    <xf numFmtId="0" fontId="13" fillId="0" borderId="0" xfId="0" applyFont="1" applyFill="1" applyAlignment="1">
      <alignment horizontal="right" wrapText="1"/>
    </xf>
    <xf numFmtId="0" fontId="6" fillId="0" borderId="3" xfId="0" applyFont="1" applyFill="1" applyBorder="1" applyAlignment="1">
      <alignment horizontal="right" vertical="center" wrapText="1"/>
    </xf>
    <xf numFmtId="0" fontId="19" fillId="0" borderId="4" xfId="0" applyFont="1" applyFill="1" applyBorder="1" applyAlignment="1">
      <alignment horizontal="right" vertical="center" wrapText="1"/>
    </xf>
    <xf numFmtId="0" fontId="19" fillId="0" borderId="3" xfId="0" applyFont="1" applyFill="1" applyBorder="1" applyAlignment="1">
      <alignment horizontal="right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right" wrapText="1"/>
    </xf>
    <xf numFmtId="0" fontId="20" fillId="0" borderId="14" xfId="0" applyFont="1" applyFill="1" applyBorder="1" applyAlignment="1">
      <alignment horizontal="right" wrapText="1"/>
    </xf>
    <xf numFmtId="0" fontId="19" fillId="0" borderId="18" xfId="0" applyFont="1" applyFill="1" applyBorder="1" applyAlignment="1">
      <alignment horizontal="right" vertical="center" wrapText="1"/>
    </xf>
    <xf numFmtId="0" fontId="19" fillId="0" borderId="18" xfId="0" applyFont="1" applyFill="1" applyBorder="1" applyAlignment="1">
      <alignment horizontal="right" vertical="top" wrapText="1"/>
    </xf>
    <xf numFmtId="4" fontId="21" fillId="0" borderId="3" xfId="0" applyNumberFormat="1" applyFont="1" applyFill="1" applyBorder="1" applyAlignment="1">
      <alignment horizontal="center" vertical="center" wrapText="1"/>
    </xf>
    <xf numFmtId="4" fontId="21" fillId="0" borderId="4" xfId="0" applyNumberFormat="1" applyFont="1" applyFill="1" applyBorder="1" applyAlignment="1">
      <alignment horizontal="center" vertical="center" wrapText="1"/>
    </xf>
    <xf numFmtId="14" fontId="2" fillId="0" borderId="4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7"/>
  <sheetViews>
    <sheetView tabSelected="1" workbookViewId="0">
      <pane ySplit="5" topLeftCell="A6" activePane="bottomLeft" state="frozen"/>
      <selection pane="bottomLeft" activeCell="B1" sqref="B1:E1"/>
    </sheetView>
  </sheetViews>
  <sheetFormatPr defaultColWidth="14.42578125" defaultRowHeight="15" customHeight="1"/>
  <cols>
    <col min="1" max="1" width="7.85546875" customWidth="1"/>
    <col min="2" max="2" width="71.28515625" customWidth="1"/>
    <col min="3" max="3" width="7.140625" customWidth="1"/>
    <col min="4" max="4" width="11.28515625" customWidth="1"/>
    <col min="5" max="5" width="21.5703125" customWidth="1"/>
    <col min="6" max="25" width="9.140625" customWidth="1"/>
  </cols>
  <sheetData>
    <row r="1" spans="1:25" ht="17.25" customHeight="1">
      <c r="B1" s="28"/>
      <c r="C1" s="29"/>
      <c r="D1" s="29"/>
      <c r="E1" s="29"/>
      <c r="R1" s="2"/>
      <c r="S1" s="2"/>
      <c r="T1" s="2"/>
      <c r="U1" s="2"/>
      <c r="V1" s="2"/>
      <c r="W1" s="2"/>
      <c r="X1" s="2"/>
      <c r="Y1" s="2"/>
    </row>
    <row r="2" spans="1:25" ht="18.75" customHeight="1">
      <c r="A2" s="9"/>
      <c r="B2" s="30" t="s">
        <v>59</v>
      </c>
      <c r="C2" s="29"/>
      <c r="D2" s="29"/>
      <c r="E2" s="29"/>
    </row>
    <row r="3" spans="1:25" ht="18.75" customHeight="1">
      <c r="A3" s="31" t="s">
        <v>61</v>
      </c>
      <c r="B3" s="29"/>
      <c r="C3" s="29"/>
      <c r="D3" s="29"/>
      <c r="E3" s="29"/>
    </row>
    <row r="4" spans="1:25" ht="18.75" customHeight="1">
      <c r="A4" s="32"/>
      <c r="B4" s="29"/>
      <c r="C4" s="29"/>
      <c r="D4" s="29"/>
      <c r="E4" s="29"/>
    </row>
    <row r="5" spans="1:25" ht="40.5" customHeight="1">
      <c r="A5" s="10" t="s">
        <v>37</v>
      </c>
      <c r="B5" s="10" t="s">
        <v>60</v>
      </c>
      <c r="C5" s="10" t="s">
        <v>38</v>
      </c>
      <c r="D5" s="10" t="s">
        <v>39</v>
      </c>
      <c r="E5" s="10" t="s">
        <v>40</v>
      </c>
    </row>
    <row r="6" spans="1:25" ht="17.25" customHeight="1">
      <c r="A6" s="33" t="s">
        <v>62</v>
      </c>
      <c r="B6" s="86" t="s">
        <v>67</v>
      </c>
      <c r="C6" s="35" t="s">
        <v>43</v>
      </c>
      <c r="D6" s="36">
        <v>55</v>
      </c>
      <c r="E6" s="96">
        <v>44938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7.25" customHeight="1">
      <c r="A7" s="33" t="s">
        <v>63</v>
      </c>
      <c r="B7" s="87" t="s">
        <v>68</v>
      </c>
      <c r="C7" s="39" t="s">
        <v>43</v>
      </c>
      <c r="D7" s="40">
        <v>14</v>
      </c>
      <c r="E7" s="96">
        <v>44938</v>
      </c>
    </row>
    <row r="8" spans="1:25" ht="15.75" customHeight="1">
      <c r="A8" s="33" t="s">
        <v>64</v>
      </c>
      <c r="B8" s="87" t="s">
        <v>69</v>
      </c>
      <c r="C8" s="39" t="s">
        <v>43</v>
      </c>
      <c r="D8" s="40">
        <v>8</v>
      </c>
      <c r="E8" s="96">
        <v>44938</v>
      </c>
    </row>
    <row r="9" spans="1:25" ht="15.75" customHeight="1">
      <c r="A9" s="33" t="s">
        <v>42</v>
      </c>
      <c r="B9" s="87" t="s">
        <v>70</v>
      </c>
      <c r="C9" s="39" t="s">
        <v>43</v>
      </c>
      <c r="D9" s="40">
        <v>8</v>
      </c>
      <c r="E9" s="96">
        <v>44938</v>
      </c>
    </row>
    <row r="10" spans="1:25" ht="15.75" customHeight="1">
      <c r="A10" s="33" t="s">
        <v>65</v>
      </c>
      <c r="B10" s="87" t="s">
        <v>71</v>
      </c>
      <c r="C10" s="39" t="s">
        <v>43</v>
      </c>
      <c r="D10" s="40">
        <v>4</v>
      </c>
      <c r="E10" s="96">
        <v>44938</v>
      </c>
    </row>
    <row r="11" spans="1:25" ht="33" customHeight="1">
      <c r="A11" s="33" t="s">
        <v>66</v>
      </c>
      <c r="B11" s="87" t="s">
        <v>72</v>
      </c>
      <c r="C11" s="88" t="s">
        <v>43</v>
      </c>
      <c r="D11" s="94">
        <v>10</v>
      </c>
      <c r="E11" s="96">
        <v>44938</v>
      </c>
    </row>
    <row r="12" spans="1:25" ht="15.75" customHeight="1">
      <c r="A12" s="33" t="s">
        <v>44</v>
      </c>
      <c r="B12" s="87" t="s">
        <v>73</v>
      </c>
      <c r="C12" s="88" t="s">
        <v>43</v>
      </c>
      <c r="D12" s="94">
        <v>12</v>
      </c>
      <c r="E12" s="96">
        <v>44938</v>
      </c>
    </row>
    <row r="13" spans="1:25" s="27" customFormat="1" ht="15.75" customHeight="1">
      <c r="A13" s="33" t="s">
        <v>45</v>
      </c>
      <c r="B13" s="87" t="s">
        <v>74</v>
      </c>
      <c r="C13" s="88" t="s">
        <v>43</v>
      </c>
      <c r="D13" s="94">
        <v>8</v>
      </c>
      <c r="E13" s="96">
        <v>44938</v>
      </c>
    </row>
    <row r="14" spans="1:25" s="27" customFormat="1" ht="17.25" customHeight="1">
      <c r="A14" s="33" t="s">
        <v>46</v>
      </c>
      <c r="B14" s="87" t="s">
        <v>75</v>
      </c>
      <c r="C14" s="88" t="s">
        <v>41</v>
      </c>
      <c r="D14" s="94">
        <v>24</v>
      </c>
      <c r="E14" s="96">
        <v>44938</v>
      </c>
    </row>
    <row r="15" spans="1:25" s="27" customFormat="1" ht="33.75" customHeight="1">
      <c r="A15" s="33" t="s">
        <v>47</v>
      </c>
      <c r="B15" s="87" t="s">
        <v>76</v>
      </c>
      <c r="C15" s="88" t="s">
        <v>43</v>
      </c>
      <c r="D15" s="94">
        <v>1</v>
      </c>
      <c r="E15" s="96">
        <v>44938</v>
      </c>
    </row>
    <row r="16" spans="1:25" s="27" customFormat="1" ht="32.25" customHeight="1">
      <c r="A16" s="33" t="s">
        <v>48</v>
      </c>
      <c r="B16" s="86" t="s">
        <v>77</v>
      </c>
      <c r="C16" s="89" t="s">
        <v>43</v>
      </c>
      <c r="D16" s="95">
        <v>54</v>
      </c>
      <c r="E16" s="96">
        <v>44938</v>
      </c>
    </row>
    <row r="17" spans="1:25" ht="17.25" customHeight="1">
      <c r="A17" s="33" t="s">
        <v>49</v>
      </c>
      <c r="B17" s="86" t="s">
        <v>78</v>
      </c>
      <c r="C17" s="89" t="s">
        <v>43</v>
      </c>
      <c r="D17" s="95">
        <v>10</v>
      </c>
      <c r="E17" s="96">
        <v>44938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7.25" customHeight="1">
      <c r="A18" s="37"/>
      <c r="B18" s="87" t="s">
        <v>79</v>
      </c>
      <c r="C18" s="88" t="s">
        <v>43</v>
      </c>
      <c r="D18" s="94">
        <v>10</v>
      </c>
      <c r="E18" s="96">
        <v>44938</v>
      </c>
    </row>
    <row r="19" spans="1:25" ht="15.75" customHeight="1">
      <c r="A19" s="42"/>
      <c r="B19" s="87" t="s">
        <v>80</v>
      </c>
      <c r="C19" s="88" t="s">
        <v>43</v>
      </c>
      <c r="D19" s="94">
        <v>8</v>
      </c>
      <c r="E19" s="96">
        <v>44938</v>
      </c>
    </row>
    <row r="20" spans="1:25" ht="15.75" customHeight="1">
      <c r="A20" s="42"/>
      <c r="B20" s="87"/>
      <c r="C20" s="88"/>
      <c r="D20" s="94"/>
      <c r="E20" s="41"/>
    </row>
    <row r="21" spans="1:25" ht="17.25" customHeight="1">
      <c r="A21" s="44"/>
      <c r="B21" s="86"/>
      <c r="C21" s="89"/>
      <c r="D21" s="95"/>
      <c r="E21" s="47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5.75" customHeight="1">
      <c r="A22" s="37"/>
      <c r="B22" s="87"/>
      <c r="C22" s="48"/>
      <c r="D22" s="40"/>
      <c r="E22" s="49"/>
    </row>
    <row r="23" spans="1:25" ht="30" customHeight="1">
      <c r="A23" s="42"/>
      <c r="B23" s="90"/>
      <c r="C23" s="48"/>
      <c r="D23" s="40"/>
      <c r="E23" s="49"/>
    </row>
    <row r="24" spans="1:25" ht="15.75" customHeight="1">
      <c r="A24" s="42"/>
      <c r="B24" s="90"/>
      <c r="C24" s="48"/>
      <c r="D24" s="40"/>
      <c r="E24" s="49"/>
    </row>
    <row r="25" spans="1:25" ht="15.75" customHeight="1">
      <c r="A25" s="42"/>
      <c r="B25" s="90"/>
      <c r="C25" s="48"/>
      <c r="D25" s="40"/>
      <c r="E25" s="49"/>
    </row>
    <row r="26" spans="1:25" ht="30" customHeight="1">
      <c r="A26" s="42"/>
      <c r="B26" s="90"/>
      <c r="C26" s="48"/>
      <c r="D26" s="40"/>
      <c r="E26" s="49"/>
    </row>
    <row r="27" spans="1:25" ht="31.5" customHeight="1">
      <c r="A27" s="42"/>
      <c r="B27" s="90"/>
      <c r="C27" s="48"/>
      <c r="D27" s="40"/>
      <c r="E27" s="49"/>
    </row>
    <row r="28" spans="1:25" ht="32.25" customHeight="1">
      <c r="A28" s="42"/>
      <c r="B28" s="90"/>
      <c r="C28" s="48"/>
      <c r="D28" s="40"/>
      <c r="E28" s="49"/>
    </row>
    <row r="29" spans="1:25" ht="30" customHeight="1">
      <c r="A29" s="42"/>
      <c r="B29" s="90"/>
      <c r="C29" s="48"/>
      <c r="D29" s="40"/>
      <c r="E29" s="49"/>
    </row>
    <row r="30" spans="1:25" ht="15.75" customHeight="1">
      <c r="A30" s="42"/>
      <c r="B30" s="90"/>
      <c r="C30" s="48"/>
      <c r="D30" s="40"/>
      <c r="E30" s="49"/>
    </row>
    <row r="31" spans="1:25" ht="28.5" customHeight="1">
      <c r="A31" s="42"/>
      <c r="B31" s="90"/>
      <c r="C31" s="48"/>
      <c r="D31" s="40"/>
      <c r="E31" s="49"/>
    </row>
    <row r="32" spans="1:25" ht="15" customHeight="1">
      <c r="A32" s="42"/>
      <c r="B32" s="90"/>
      <c r="C32" s="48"/>
      <c r="D32" s="40"/>
      <c r="E32" s="49"/>
    </row>
    <row r="33" spans="1:25" ht="15.75" customHeight="1">
      <c r="A33" s="51"/>
      <c r="B33" s="87"/>
      <c r="C33" s="52"/>
      <c r="D33" s="40"/>
      <c r="E33" s="49"/>
    </row>
    <row r="34" spans="1:25" ht="17.25" customHeight="1">
      <c r="A34" s="44"/>
      <c r="B34" s="92"/>
      <c r="C34" s="53"/>
      <c r="D34" s="54"/>
      <c r="E34" s="47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7.25" customHeight="1">
      <c r="A35" s="37"/>
      <c r="B35" s="87"/>
      <c r="C35" s="39"/>
      <c r="D35" s="40"/>
      <c r="E35" s="41"/>
    </row>
    <row r="36" spans="1:25" ht="17.25" customHeight="1">
      <c r="A36" s="55"/>
      <c r="B36" s="87"/>
      <c r="C36" s="56"/>
      <c r="D36" s="40"/>
      <c r="E36" s="41"/>
    </row>
    <row r="37" spans="1:25" ht="20.25" customHeight="1">
      <c r="A37" s="44"/>
      <c r="B37" s="93"/>
      <c r="C37" s="53"/>
      <c r="D37" s="54"/>
      <c r="E37" s="57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7.25" customHeight="1">
      <c r="A38" s="37"/>
      <c r="B38" s="87"/>
      <c r="C38" s="39"/>
      <c r="D38" s="40"/>
      <c r="E38" s="41"/>
    </row>
    <row r="39" spans="1:25" ht="15.75" customHeight="1">
      <c r="A39" s="42"/>
      <c r="B39" s="90"/>
      <c r="C39" s="48"/>
      <c r="D39" s="40"/>
      <c r="E39" s="49"/>
    </row>
    <row r="40" spans="1:25" ht="15.75" customHeight="1">
      <c r="A40" s="42"/>
      <c r="B40" s="91"/>
      <c r="C40" s="58"/>
      <c r="D40" s="59"/>
      <c r="E40" s="49"/>
    </row>
    <row r="41" spans="1:25" ht="17.25" customHeight="1">
      <c r="A41" s="37"/>
      <c r="B41" s="87"/>
      <c r="C41" s="39"/>
      <c r="D41" s="40"/>
      <c r="E41" s="41"/>
    </row>
    <row r="42" spans="1:25" ht="15.75" customHeight="1">
      <c r="A42" s="42"/>
      <c r="B42" s="90"/>
      <c r="C42" s="48"/>
      <c r="D42" s="40"/>
      <c r="E42" s="49"/>
    </row>
    <row r="43" spans="1:25" ht="15.75" customHeight="1">
      <c r="A43" s="42"/>
      <c r="B43" s="90"/>
      <c r="C43" s="48"/>
      <c r="D43" s="40"/>
      <c r="E43" s="49"/>
    </row>
    <row r="44" spans="1:25" ht="17.25" customHeight="1">
      <c r="A44" s="37"/>
      <c r="B44" s="38"/>
      <c r="C44" s="39"/>
      <c r="D44" s="40"/>
      <c r="E44" s="41"/>
    </row>
    <row r="45" spans="1:25" ht="15.75" customHeight="1">
      <c r="A45" s="55"/>
      <c r="B45" s="50"/>
      <c r="C45" s="48"/>
      <c r="D45" s="40"/>
      <c r="E45" s="49"/>
    </row>
    <row r="46" spans="1:25" ht="20.25" customHeight="1">
      <c r="A46" s="44"/>
      <c r="B46" s="60"/>
      <c r="C46" s="61"/>
      <c r="D46" s="46"/>
      <c r="E46" s="62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30.75" customHeight="1">
      <c r="A47" s="37"/>
      <c r="B47" s="38"/>
      <c r="C47" s="63"/>
      <c r="D47" s="40"/>
      <c r="E47" s="64"/>
    </row>
    <row r="48" spans="1:25" ht="17.25" customHeight="1">
      <c r="A48" s="55"/>
      <c r="B48" s="43"/>
      <c r="C48" s="63"/>
      <c r="D48" s="40"/>
      <c r="E48" s="6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7.25" customHeight="1">
      <c r="A49" s="55"/>
      <c r="B49" s="43"/>
      <c r="C49" s="63"/>
      <c r="D49" s="40"/>
      <c r="E49" s="6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37"/>
      <c r="B50" s="38"/>
      <c r="C50" s="63"/>
      <c r="D50" s="40"/>
      <c r="E50" s="65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37"/>
      <c r="B51" s="43"/>
      <c r="C51" s="63"/>
      <c r="D51" s="40"/>
      <c r="E51" s="65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37"/>
      <c r="B52" s="38"/>
      <c r="C52" s="63"/>
      <c r="D52" s="40"/>
      <c r="E52" s="6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37"/>
      <c r="B53" s="43"/>
      <c r="C53" s="63"/>
      <c r="D53" s="40"/>
      <c r="E53" s="6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37"/>
      <c r="B54" s="38"/>
      <c r="C54" s="63"/>
      <c r="D54" s="40"/>
      <c r="E54" s="65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37"/>
      <c r="B55" s="67"/>
      <c r="C55" s="63"/>
      <c r="D55" s="40"/>
      <c r="E55" s="6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37"/>
      <c r="B56" s="67"/>
      <c r="C56" s="63"/>
      <c r="D56" s="40"/>
      <c r="E56" s="65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37"/>
      <c r="B57" s="67"/>
      <c r="C57" s="63"/>
      <c r="D57" s="40"/>
      <c r="E57" s="6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37"/>
      <c r="B58" s="67"/>
      <c r="C58" s="63"/>
      <c r="D58" s="40"/>
      <c r="E58" s="6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37"/>
      <c r="B59" s="67"/>
      <c r="C59" s="63"/>
      <c r="D59" s="40"/>
      <c r="E59" s="6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0.25" customHeight="1">
      <c r="A60" s="44"/>
      <c r="B60" s="60"/>
      <c r="C60" s="61"/>
      <c r="D60" s="46"/>
      <c r="E60" s="62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5.75" customHeight="1">
      <c r="A61" s="37"/>
      <c r="B61" s="38"/>
      <c r="C61" s="68"/>
      <c r="D61" s="40"/>
      <c r="E61" s="6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37"/>
      <c r="B62" s="43"/>
      <c r="C62" s="48"/>
      <c r="D62" s="40"/>
      <c r="E62" s="6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37"/>
      <c r="B63" s="43"/>
      <c r="C63" s="63"/>
      <c r="D63" s="40"/>
      <c r="E63" s="6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37"/>
      <c r="B64" s="43"/>
      <c r="C64" s="39"/>
      <c r="D64" s="40"/>
      <c r="E64" s="6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37"/>
      <c r="B65" s="38"/>
      <c r="C65" s="69"/>
      <c r="D65" s="40"/>
      <c r="E65" s="6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37"/>
      <c r="B66" s="43"/>
      <c r="C66" s="63"/>
      <c r="D66" s="40"/>
      <c r="E66" s="6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37"/>
      <c r="B67" s="43"/>
      <c r="C67" s="63"/>
      <c r="D67" s="40"/>
      <c r="E67" s="6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37"/>
      <c r="B68" s="38"/>
      <c r="C68" s="63"/>
      <c r="D68" s="40"/>
      <c r="E68" s="6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37"/>
      <c r="B69" s="43"/>
      <c r="C69" s="70"/>
      <c r="D69" s="40"/>
      <c r="E69" s="6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37"/>
      <c r="B70" s="38"/>
      <c r="C70" s="63"/>
      <c r="D70" s="40"/>
      <c r="E70" s="65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37"/>
      <c r="B71" s="43"/>
      <c r="C71" s="71"/>
      <c r="D71" s="40"/>
      <c r="E71" s="6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0.25" customHeight="1">
      <c r="A72" s="44"/>
      <c r="B72" s="60"/>
      <c r="C72" s="61"/>
      <c r="D72" s="46"/>
      <c r="E72" s="62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8.75" customHeight="1">
      <c r="A73" s="37"/>
      <c r="B73" s="38"/>
      <c r="C73" s="48"/>
      <c r="D73" s="40"/>
      <c r="E73" s="4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8.75" customHeight="1">
      <c r="A74" s="37"/>
      <c r="B74" s="43"/>
      <c r="C74" s="48"/>
      <c r="D74" s="40"/>
      <c r="E74" s="49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33" customHeight="1">
      <c r="A75" s="37"/>
      <c r="B75" s="43"/>
      <c r="C75" s="48"/>
      <c r="D75" s="40"/>
      <c r="E75" s="49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8.75" customHeight="1">
      <c r="A76" s="37"/>
      <c r="B76" s="43"/>
      <c r="C76" s="48"/>
      <c r="D76" s="40"/>
      <c r="E76" s="49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8.75" customHeight="1">
      <c r="A77" s="37"/>
      <c r="B77" s="43"/>
      <c r="C77" s="48"/>
      <c r="D77" s="40"/>
      <c r="E77" s="49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8.75" customHeight="1">
      <c r="A78" s="37"/>
      <c r="B78" s="43"/>
      <c r="C78" s="48"/>
      <c r="D78" s="40"/>
      <c r="E78" s="4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33" customHeight="1">
      <c r="A79" s="37"/>
      <c r="B79" s="38"/>
      <c r="C79" s="48"/>
      <c r="D79" s="40"/>
      <c r="E79" s="49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31.5" customHeight="1">
      <c r="A80" s="37"/>
      <c r="B80" s="43"/>
      <c r="C80" s="48"/>
      <c r="D80" s="40"/>
      <c r="E80" s="49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31.5" customHeight="1">
      <c r="A81" s="37"/>
      <c r="B81" s="43"/>
      <c r="C81" s="48"/>
      <c r="D81" s="40"/>
      <c r="E81" s="49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8.75" customHeight="1">
      <c r="A82" s="37"/>
      <c r="B82" s="38"/>
      <c r="C82" s="48"/>
      <c r="D82" s="40"/>
      <c r="E82" s="49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31.5" customHeight="1">
      <c r="A83" s="37"/>
      <c r="B83" s="43"/>
      <c r="C83" s="48"/>
      <c r="D83" s="40"/>
      <c r="E83" s="4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6.5" customHeight="1">
      <c r="A84" s="37"/>
      <c r="B84" s="38"/>
      <c r="C84" s="48"/>
      <c r="D84" s="40"/>
      <c r="E84" s="4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31.5" customHeight="1">
      <c r="A85" s="37"/>
      <c r="B85" s="43"/>
      <c r="C85" s="48"/>
      <c r="D85" s="40"/>
      <c r="E85" s="7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8" customHeight="1">
      <c r="A86" s="37"/>
      <c r="B86" s="38"/>
      <c r="C86" s="48"/>
      <c r="D86" s="40"/>
      <c r="E86" s="4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31.5" customHeight="1">
      <c r="A87" s="37"/>
      <c r="B87" s="43"/>
      <c r="C87" s="48"/>
      <c r="D87" s="40"/>
      <c r="E87" s="7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7.25" customHeight="1">
      <c r="A88" s="37"/>
      <c r="B88" s="38"/>
      <c r="C88" s="48"/>
      <c r="D88" s="40"/>
      <c r="E88" s="4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31.5" customHeight="1">
      <c r="A89" s="37"/>
      <c r="B89" s="43"/>
      <c r="C89" s="48"/>
      <c r="D89" s="40"/>
      <c r="E89" s="7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31.5" customHeight="1">
      <c r="A90" s="37"/>
      <c r="B90" s="43"/>
      <c r="C90" s="48"/>
      <c r="D90" s="40"/>
      <c r="E90" s="7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7.25" customHeight="1">
      <c r="A91" s="37"/>
      <c r="B91" s="38"/>
      <c r="C91" s="48"/>
      <c r="D91" s="40"/>
      <c r="E91" s="4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31.5" customHeight="1">
      <c r="A92" s="37"/>
      <c r="B92" s="43"/>
      <c r="C92" s="48"/>
      <c r="D92" s="40"/>
      <c r="E92" s="7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0.25" customHeight="1">
      <c r="A93" s="44"/>
      <c r="B93" s="60"/>
      <c r="C93" s="61"/>
      <c r="D93" s="46"/>
      <c r="E93" s="62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8.75" customHeight="1">
      <c r="A94" s="37"/>
      <c r="B94" s="43"/>
      <c r="C94" s="48"/>
      <c r="D94" s="40"/>
      <c r="E94" s="7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6.5" customHeight="1">
      <c r="A95" s="37"/>
      <c r="B95" s="43"/>
      <c r="C95" s="48"/>
      <c r="D95" s="40"/>
      <c r="E95" s="7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>
      <c r="A96" s="37"/>
      <c r="B96" s="43"/>
      <c r="C96" s="48"/>
      <c r="D96" s="40"/>
      <c r="E96" s="7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" customHeight="1">
      <c r="A97" s="37"/>
      <c r="B97" s="43"/>
      <c r="C97" s="48"/>
      <c r="D97" s="40"/>
      <c r="E97" s="7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7.25" customHeight="1">
      <c r="A98" s="37"/>
      <c r="B98" s="43"/>
      <c r="C98" s="48"/>
      <c r="D98" s="40"/>
      <c r="E98" s="7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7.25" customHeight="1">
      <c r="A99" s="37"/>
      <c r="B99" s="43"/>
      <c r="C99" s="48"/>
      <c r="D99" s="40"/>
      <c r="E99" s="7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7.25" customHeight="1">
      <c r="A100" s="37"/>
      <c r="B100" s="43"/>
      <c r="C100" s="48"/>
      <c r="D100" s="40"/>
      <c r="E100" s="7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6.5" customHeight="1">
      <c r="A101" s="37"/>
      <c r="B101" s="43"/>
      <c r="C101" s="48"/>
      <c r="D101" s="40"/>
      <c r="E101" s="7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6.5" customHeight="1">
      <c r="A102" s="37"/>
      <c r="B102" s="43"/>
      <c r="C102" s="48"/>
      <c r="D102" s="40"/>
      <c r="E102" s="7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0.25" customHeight="1">
      <c r="A103" s="44"/>
      <c r="B103" s="60"/>
      <c r="C103" s="61"/>
      <c r="D103" s="46"/>
      <c r="E103" s="62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7.25" customHeight="1">
      <c r="A104" s="37"/>
      <c r="B104" s="38"/>
      <c r="C104" s="48"/>
      <c r="D104" s="40"/>
      <c r="E104" s="4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31.5" customHeight="1">
      <c r="A105" s="55"/>
      <c r="B105" s="43"/>
      <c r="C105" s="48"/>
      <c r="D105" s="40"/>
      <c r="E105" s="7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31.5" customHeight="1">
      <c r="A106" s="55"/>
      <c r="B106" s="43"/>
      <c r="C106" s="48"/>
      <c r="D106" s="40"/>
      <c r="E106" s="7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31.5" customHeight="1">
      <c r="A107" s="55"/>
      <c r="B107" s="43"/>
      <c r="C107" s="48"/>
      <c r="D107" s="40"/>
      <c r="E107" s="7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31.5" customHeight="1">
      <c r="A108" s="55"/>
      <c r="B108" s="43"/>
      <c r="C108" s="48"/>
      <c r="D108" s="40"/>
      <c r="E108" s="7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31.5" customHeight="1">
      <c r="A109" s="55"/>
      <c r="B109" s="43"/>
      <c r="C109" s="48"/>
      <c r="D109" s="40"/>
      <c r="E109" s="7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8.75" customHeight="1">
      <c r="A110" s="44"/>
      <c r="B110" s="34"/>
      <c r="C110" s="45"/>
      <c r="D110" s="46"/>
      <c r="E110" s="47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37.5" customHeight="1">
      <c r="A111" s="37"/>
      <c r="B111" s="38"/>
      <c r="C111" s="39"/>
      <c r="D111" s="40"/>
      <c r="E111" s="6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8" customHeight="1">
      <c r="A112" s="55"/>
      <c r="B112" s="43"/>
      <c r="C112" s="39"/>
      <c r="D112" s="40"/>
      <c r="E112" s="6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8.75" customHeight="1">
      <c r="A113" s="55"/>
      <c r="B113" s="43"/>
      <c r="C113" s="63"/>
      <c r="D113" s="40"/>
      <c r="E113" s="6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1" customHeight="1">
      <c r="A114" s="55"/>
      <c r="B114" s="43"/>
      <c r="C114" s="63"/>
      <c r="D114" s="40"/>
      <c r="E114" s="6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8.75" customHeight="1">
      <c r="A115" s="55"/>
      <c r="B115" s="43"/>
      <c r="C115" s="63"/>
      <c r="D115" s="40"/>
      <c r="E115" s="6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55"/>
      <c r="B116" s="43"/>
      <c r="C116" s="63"/>
      <c r="D116" s="40"/>
      <c r="E116" s="6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8.75" customHeight="1">
      <c r="A117" s="55"/>
      <c r="B117" s="43"/>
      <c r="C117" s="39"/>
      <c r="D117" s="40"/>
      <c r="E117" s="6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8.75" customHeight="1">
      <c r="A118" s="55"/>
      <c r="B118" s="43"/>
      <c r="C118" s="39"/>
      <c r="D118" s="40"/>
      <c r="E118" s="6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8.75" customHeight="1">
      <c r="A119" s="55"/>
      <c r="B119" s="43"/>
      <c r="C119" s="63"/>
      <c r="D119" s="40"/>
      <c r="E119" s="6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20.25" customHeight="1">
      <c r="A120" s="55"/>
      <c r="B120" s="43"/>
      <c r="C120" s="63"/>
      <c r="D120" s="40"/>
      <c r="E120" s="6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8.75" customHeight="1">
      <c r="A121" s="55"/>
      <c r="B121" s="43"/>
      <c r="C121" s="63"/>
      <c r="D121" s="40"/>
      <c r="E121" s="6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8.75" customHeight="1">
      <c r="A122" s="44"/>
      <c r="B122" s="34"/>
      <c r="C122" s="45"/>
      <c r="D122" s="46"/>
      <c r="E122" s="47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30.75" customHeight="1">
      <c r="A123" s="37"/>
      <c r="B123" s="38"/>
      <c r="C123" s="39"/>
      <c r="D123" s="40"/>
      <c r="E123" s="7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8.75" customHeight="1">
      <c r="A124" s="37"/>
      <c r="B124" s="43"/>
      <c r="C124" s="39"/>
      <c r="D124" s="40"/>
      <c r="E124" s="6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8.75" customHeight="1">
      <c r="A125" s="37"/>
      <c r="B125" s="50"/>
      <c r="C125" s="63"/>
      <c r="D125" s="40"/>
      <c r="E125" s="6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8.75" customHeight="1">
      <c r="A126" s="37"/>
      <c r="B126" s="50"/>
      <c r="C126" s="63"/>
      <c r="D126" s="40"/>
      <c r="E126" s="6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8.75" customHeight="1">
      <c r="A127" s="37"/>
      <c r="B127" s="43"/>
      <c r="C127" s="63"/>
      <c r="D127" s="40"/>
      <c r="E127" s="6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8.75" customHeight="1">
      <c r="A128" s="37"/>
      <c r="B128" s="43"/>
      <c r="C128" s="39"/>
      <c r="D128" s="40"/>
      <c r="E128" s="6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8.75" customHeight="1">
      <c r="A129" s="37"/>
      <c r="B129" s="43"/>
      <c r="C129" s="39"/>
      <c r="D129" s="40"/>
      <c r="E129" s="6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22.5" customHeight="1">
      <c r="A130" s="37"/>
      <c r="B130" s="43"/>
      <c r="C130" s="63"/>
      <c r="D130" s="40"/>
      <c r="E130" s="6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8.75" customHeight="1">
      <c r="A131" s="37"/>
      <c r="B131" s="43"/>
      <c r="C131" s="63"/>
      <c r="D131" s="40"/>
      <c r="E131" s="6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8.75" customHeight="1">
      <c r="A132" s="37"/>
      <c r="B132" s="43"/>
      <c r="C132" s="63"/>
      <c r="D132" s="40"/>
      <c r="E132" s="6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8.75" customHeight="1">
      <c r="A133" s="37"/>
      <c r="B133" s="43"/>
      <c r="C133" s="39"/>
      <c r="D133" s="40"/>
      <c r="E133" s="6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8.75" customHeight="1">
      <c r="A134" s="37"/>
      <c r="B134" s="38"/>
      <c r="C134" s="39"/>
      <c r="D134" s="40"/>
      <c r="E134" s="6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8.75" customHeight="1">
      <c r="A135" s="37"/>
      <c r="B135" s="43"/>
      <c r="C135" s="39"/>
      <c r="D135" s="40"/>
      <c r="E135" s="6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30.75" customHeight="1">
      <c r="A136" s="37"/>
      <c r="B136" s="43"/>
      <c r="C136" s="39"/>
      <c r="D136" s="40"/>
      <c r="E136" s="6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20.25" customHeight="1">
      <c r="A137" s="44"/>
      <c r="B137" s="60"/>
      <c r="C137" s="61"/>
      <c r="D137" s="46"/>
      <c r="E137" s="62"/>
      <c r="F137" s="11"/>
      <c r="G137" s="11"/>
      <c r="H137" s="14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8.75" customHeight="1">
      <c r="A138" s="37"/>
      <c r="B138" s="38"/>
      <c r="C138" s="39"/>
      <c r="D138" s="40"/>
      <c r="E138" s="64"/>
      <c r="F138" s="2"/>
      <c r="G138" s="2"/>
      <c r="H138" s="15"/>
      <c r="I138" s="1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8.75" customHeight="1">
      <c r="A139" s="55"/>
      <c r="B139" s="43"/>
      <c r="C139" s="39"/>
      <c r="D139" s="40"/>
      <c r="E139" s="64"/>
      <c r="F139" s="2"/>
      <c r="G139" s="2"/>
      <c r="H139" s="1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8.75" customHeight="1">
      <c r="A140" s="55"/>
      <c r="B140" s="43"/>
      <c r="C140" s="63"/>
      <c r="D140" s="40"/>
      <c r="E140" s="65"/>
      <c r="F140" s="2"/>
      <c r="G140" s="2"/>
      <c r="H140" s="15"/>
      <c r="I140" s="15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8.75" customHeight="1">
      <c r="A141" s="55"/>
      <c r="B141" s="43"/>
      <c r="C141" s="63"/>
      <c r="D141" s="40"/>
      <c r="E141" s="65"/>
      <c r="F141" s="2"/>
      <c r="G141" s="2"/>
      <c r="H141" s="15"/>
      <c r="I141" s="1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8.75" customHeight="1">
      <c r="A142" s="55"/>
      <c r="B142" s="43"/>
      <c r="C142" s="63"/>
      <c r="D142" s="40"/>
      <c r="E142" s="65"/>
      <c r="F142" s="2"/>
      <c r="G142" s="2"/>
      <c r="H142" s="15"/>
      <c r="I142" s="1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8.75" customHeight="1">
      <c r="A143" s="55"/>
      <c r="B143" s="43"/>
      <c r="C143" s="63"/>
      <c r="D143" s="40"/>
      <c r="E143" s="65"/>
      <c r="F143" s="2"/>
      <c r="G143" s="2"/>
      <c r="H143" s="15"/>
      <c r="I143" s="1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8.75" customHeight="1">
      <c r="A144" s="55"/>
      <c r="B144" s="43"/>
      <c r="C144" s="63"/>
      <c r="D144" s="40"/>
      <c r="E144" s="65"/>
      <c r="F144" s="2"/>
      <c r="G144" s="2"/>
      <c r="H144" s="15"/>
      <c r="I144" s="1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8.75" customHeight="1">
      <c r="A145" s="55"/>
      <c r="B145" s="43"/>
      <c r="C145" s="63"/>
      <c r="D145" s="40"/>
      <c r="E145" s="65"/>
      <c r="F145" s="2"/>
      <c r="G145" s="2"/>
      <c r="H145" s="15"/>
      <c r="I145" s="1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8.75" customHeight="1">
      <c r="A146" s="55"/>
      <c r="B146" s="43"/>
      <c r="C146" s="63"/>
      <c r="D146" s="40"/>
      <c r="E146" s="65"/>
      <c r="F146" s="2"/>
      <c r="G146" s="2"/>
      <c r="H146" s="15"/>
      <c r="I146" s="1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8.75" customHeight="1">
      <c r="A147" s="55"/>
      <c r="B147" s="43"/>
      <c r="C147" s="63"/>
      <c r="D147" s="40"/>
      <c r="E147" s="65"/>
      <c r="F147" s="2"/>
      <c r="G147" s="2"/>
      <c r="H147" s="15"/>
      <c r="I147" s="1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20.25" customHeight="1">
      <c r="A148" s="44"/>
      <c r="B148" s="60"/>
      <c r="C148" s="61"/>
      <c r="D148" s="46"/>
      <c r="E148" s="62"/>
      <c r="F148" s="11"/>
      <c r="G148" s="11"/>
      <c r="H148" s="14"/>
      <c r="I148" s="14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8.75" customHeight="1">
      <c r="A149" s="37"/>
      <c r="B149" s="38"/>
      <c r="C149" s="39"/>
      <c r="D149" s="40"/>
      <c r="E149" s="64"/>
      <c r="F149" s="2"/>
      <c r="G149" s="2"/>
      <c r="H149" s="15"/>
      <c r="I149" s="1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8.75" customHeight="1">
      <c r="A150" s="37"/>
      <c r="B150" s="43"/>
      <c r="C150" s="63"/>
      <c r="D150" s="40"/>
      <c r="E150" s="65"/>
      <c r="F150" s="2"/>
      <c r="G150" s="2"/>
      <c r="H150" s="15"/>
      <c r="I150" s="1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8.75" customHeight="1">
      <c r="A151" s="37"/>
      <c r="B151" s="43"/>
      <c r="C151" s="63"/>
      <c r="D151" s="40"/>
      <c r="E151" s="65"/>
      <c r="F151" s="2"/>
      <c r="G151" s="2"/>
      <c r="H151" s="15"/>
      <c r="I151" s="1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8.75" customHeight="1">
      <c r="A152" s="37"/>
      <c r="B152" s="38"/>
      <c r="C152" s="39"/>
      <c r="D152" s="40"/>
      <c r="E152" s="64"/>
      <c r="F152" s="2"/>
      <c r="G152" s="2"/>
      <c r="H152" s="15"/>
      <c r="I152" s="15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33" customHeight="1">
      <c r="A153" s="37"/>
      <c r="B153" s="43"/>
      <c r="C153" s="63"/>
      <c r="D153" s="40"/>
      <c r="E153" s="65"/>
      <c r="F153" s="2"/>
      <c r="G153" s="2"/>
      <c r="H153" s="15"/>
      <c r="I153" s="1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7.25" customHeight="1">
      <c r="A154" s="74"/>
      <c r="B154" s="75"/>
      <c r="C154" s="76"/>
      <c r="D154" s="77"/>
      <c r="E154" s="7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 ht="34.5" customHeight="1">
      <c r="A155" s="37"/>
      <c r="B155" s="38"/>
      <c r="C155" s="39"/>
      <c r="D155" s="40"/>
      <c r="E155" s="6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8.75" customHeight="1">
      <c r="A156" s="37"/>
      <c r="B156" s="43"/>
      <c r="C156" s="39"/>
      <c r="D156" s="40"/>
      <c r="E156" s="6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8.75" customHeight="1">
      <c r="A157" s="37"/>
      <c r="B157" s="43"/>
      <c r="C157" s="63"/>
      <c r="D157" s="40"/>
      <c r="E157" s="65"/>
      <c r="F157" s="2"/>
      <c r="G157" s="2"/>
      <c r="H157" s="15"/>
      <c r="I157" s="1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8.75" customHeight="1">
      <c r="A158" s="37"/>
      <c r="B158" s="43"/>
      <c r="C158" s="63"/>
      <c r="D158" s="40"/>
      <c r="E158" s="65"/>
      <c r="F158" s="2"/>
      <c r="G158" s="2"/>
      <c r="H158" s="15"/>
      <c r="I158" s="15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8.75" customHeight="1">
      <c r="A159" s="37"/>
      <c r="B159" s="38"/>
      <c r="C159" s="39"/>
      <c r="D159" s="40"/>
      <c r="E159" s="6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33" customHeight="1">
      <c r="A160" s="37"/>
      <c r="B160" s="43"/>
      <c r="C160" s="63"/>
      <c r="D160" s="40"/>
      <c r="E160" s="65"/>
      <c r="F160" s="2"/>
      <c r="G160" s="2"/>
      <c r="H160" s="15"/>
      <c r="I160" s="15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8.75" customHeight="1">
      <c r="A161" s="37"/>
      <c r="B161" s="43"/>
      <c r="C161" s="39"/>
      <c r="D161" s="40"/>
      <c r="E161" s="6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8.75" customHeight="1">
      <c r="A162" s="37"/>
      <c r="B162" s="43"/>
      <c r="C162" s="39"/>
      <c r="D162" s="40"/>
      <c r="E162" s="6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8.75" customHeight="1">
      <c r="A163" s="37"/>
      <c r="B163" s="38"/>
      <c r="C163" s="39"/>
      <c r="D163" s="40"/>
      <c r="E163" s="6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8.75" customHeight="1">
      <c r="A164" s="37"/>
      <c r="B164" s="43"/>
      <c r="C164" s="39"/>
      <c r="D164" s="40"/>
      <c r="E164" s="6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8.75" customHeight="1">
      <c r="A165" s="78"/>
      <c r="B165" s="79"/>
      <c r="C165" s="80"/>
      <c r="D165" s="81"/>
      <c r="E165" s="7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 ht="36" customHeight="1">
      <c r="A166" s="37"/>
      <c r="B166" s="38"/>
      <c r="C166" s="48"/>
      <c r="D166" s="40"/>
      <c r="E166" s="49"/>
    </row>
    <row r="167" spans="1:25" ht="31.5" customHeight="1">
      <c r="A167" s="37"/>
      <c r="B167" s="50"/>
      <c r="C167" s="48"/>
      <c r="D167" s="40"/>
      <c r="E167" s="49"/>
    </row>
    <row r="168" spans="1:25" ht="18.75" customHeight="1">
      <c r="A168" s="37"/>
      <c r="B168" s="50"/>
      <c r="C168" s="48"/>
      <c r="D168" s="40"/>
      <c r="E168" s="49"/>
    </row>
    <row r="169" spans="1:25" ht="18.75" customHeight="1">
      <c r="A169" s="37"/>
      <c r="B169" s="50"/>
      <c r="C169" s="48"/>
      <c r="D169" s="40"/>
      <c r="E169" s="49"/>
    </row>
    <row r="170" spans="1:25" ht="18.75" customHeight="1">
      <c r="A170" s="37"/>
      <c r="B170" s="38"/>
      <c r="C170" s="48"/>
      <c r="D170" s="40"/>
      <c r="E170" s="49"/>
    </row>
    <row r="171" spans="1:25" ht="34.5" customHeight="1">
      <c r="A171" s="37"/>
      <c r="B171" s="50"/>
      <c r="C171" s="48"/>
      <c r="D171" s="40"/>
      <c r="E171" s="49"/>
    </row>
    <row r="172" spans="1:25" ht="34.5" customHeight="1">
      <c r="A172" s="37"/>
      <c r="B172" s="50"/>
      <c r="C172" s="48"/>
      <c r="D172" s="40"/>
      <c r="E172" s="49"/>
    </row>
    <row r="173" spans="1:25" ht="36.75" customHeight="1">
      <c r="A173" s="37"/>
      <c r="B173" s="50"/>
      <c r="C173" s="48"/>
      <c r="D173" s="40"/>
      <c r="E173" s="49"/>
    </row>
    <row r="174" spans="1:25" ht="18.75" customHeight="1">
      <c r="A174" s="78"/>
      <c r="B174" s="79"/>
      <c r="C174" s="80"/>
      <c r="D174" s="81"/>
      <c r="E174" s="7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 ht="34.5" customHeight="1">
      <c r="A175" s="37"/>
      <c r="B175" s="38"/>
      <c r="C175" s="48"/>
      <c r="D175" s="40"/>
      <c r="E175" s="6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8.75" customHeight="1">
      <c r="A176" s="55"/>
      <c r="B176" s="43"/>
      <c r="C176" s="48"/>
      <c r="D176" s="40"/>
      <c r="E176" s="6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8.75" customHeight="1">
      <c r="A177" s="55"/>
      <c r="B177" s="43"/>
      <c r="C177" s="48"/>
      <c r="D177" s="40"/>
      <c r="E177" s="6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8.75" customHeight="1">
      <c r="A178" s="55"/>
      <c r="B178" s="43"/>
      <c r="C178" s="48"/>
      <c r="D178" s="40"/>
      <c r="E178" s="6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55"/>
      <c r="B179" s="82"/>
      <c r="C179" s="48"/>
      <c r="D179" s="40"/>
      <c r="E179" s="6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8.75" customHeight="1">
      <c r="A180" s="55"/>
      <c r="B180" s="82"/>
      <c r="C180" s="48"/>
      <c r="D180" s="40"/>
      <c r="E180" s="6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8.75" customHeight="1">
      <c r="A181" s="55"/>
      <c r="B181" s="43"/>
      <c r="C181" s="48"/>
      <c r="D181" s="40"/>
      <c r="E181" s="6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8.75" customHeight="1">
      <c r="A182" s="55"/>
      <c r="B182" s="43"/>
      <c r="C182" s="48"/>
      <c r="D182" s="40"/>
      <c r="E182" s="6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8.75" customHeight="1">
      <c r="A183" s="55"/>
      <c r="B183" s="43"/>
      <c r="C183" s="48"/>
      <c r="D183" s="40"/>
      <c r="E183" s="6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8.75" customHeight="1">
      <c r="A184" s="55"/>
      <c r="B184" s="43"/>
      <c r="C184" s="39"/>
      <c r="D184" s="40"/>
      <c r="E184" s="6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8.75" customHeight="1">
      <c r="A185" s="55"/>
      <c r="B185" s="43"/>
      <c r="C185" s="39"/>
      <c r="D185" s="40"/>
      <c r="E185" s="6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8.75" customHeight="1">
      <c r="A186" s="55"/>
      <c r="B186" s="43"/>
      <c r="C186" s="48"/>
      <c r="D186" s="40"/>
      <c r="E186" s="6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8.75" customHeight="1">
      <c r="A187" s="78"/>
      <c r="B187" s="79"/>
      <c r="C187" s="80"/>
      <c r="D187" s="81"/>
      <c r="E187" s="7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 ht="15.75" customHeight="1">
      <c r="A188" s="37"/>
      <c r="B188" s="38"/>
      <c r="C188" s="48"/>
      <c r="D188" s="40"/>
      <c r="E188" s="65"/>
      <c r="F188" s="2"/>
      <c r="G188" s="15"/>
      <c r="H188" s="15"/>
      <c r="I188" s="15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37"/>
      <c r="B189" s="43"/>
      <c r="C189" s="48"/>
      <c r="D189" s="40"/>
      <c r="E189" s="65"/>
      <c r="F189" s="2"/>
      <c r="G189" s="15"/>
      <c r="H189" s="15"/>
      <c r="I189" s="1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37"/>
      <c r="B190" s="43"/>
      <c r="C190" s="48"/>
      <c r="D190" s="40"/>
      <c r="E190" s="65"/>
      <c r="F190" s="2"/>
      <c r="G190" s="15"/>
      <c r="H190" s="15"/>
      <c r="I190" s="1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37"/>
      <c r="B191" s="43"/>
      <c r="C191" s="48"/>
      <c r="D191" s="40"/>
      <c r="E191" s="65"/>
      <c r="F191" s="2"/>
      <c r="G191" s="15"/>
      <c r="H191" s="15"/>
      <c r="I191" s="1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37"/>
      <c r="B192" s="43"/>
      <c r="C192" s="48"/>
      <c r="D192" s="40"/>
      <c r="E192" s="65"/>
      <c r="F192" s="2"/>
      <c r="G192" s="15"/>
      <c r="H192" s="15"/>
      <c r="I192" s="15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37"/>
      <c r="B193" s="43"/>
      <c r="C193" s="48"/>
      <c r="D193" s="40"/>
      <c r="E193" s="65"/>
      <c r="F193" s="2"/>
      <c r="G193" s="15"/>
      <c r="H193" s="15"/>
      <c r="I193" s="1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37"/>
      <c r="B194" s="38"/>
      <c r="C194" s="48"/>
      <c r="D194" s="40"/>
      <c r="E194" s="65"/>
      <c r="F194" s="2"/>
      <c r="G194" s="15"/>
      <c r="H194" s="2"/>
      <c r="I194" s="15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>
      <c r="A195" s="37"/>
      <c r="B195" s="43"/>
      <c r="C195" s="48"/>
      <c r="D195" s="40"/>
      <c r="E195" s="65"/>
      <c r="F195" s="2"/>
      <c r="G195" s="15"/>
      <c r="H195" s="2"/>
      <c r="I195" s="15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8.75" customHeight="1">
      <c r="A196" s="37"/>
      <c r="B196" s="43"/>
      <c r="C196" s="48"/>
      <c r="D196" s="40"/>
      <c r="E196" s="65"/>
      <c r="F196" s="2"/>
      <c r="G196" s="15"/>
      <c r="H196" s="2"/>
      <c r="I196" s="15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37"/>
      <c r="B197" s="43"/>
      <c r="C197" s="48"/>
      <c r="D197" s="40"/>
      <c r="E197" s="65"/>
      <c r="F197" s="2"/>
      <c r="G197" s="15"/>
      <c r="H197" s="2"/>
      <c r="I197" s="1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37"/>
      <c r="B198" s="43"/>
      <c r="C198" s="48"/>
      <c r="D198" s="40"/>
      <c r="E198" s="65"/>
      <c r="F198" s="2"/>
      <c r="G198" s="15"/>
      <c r="H198" s="2"/>
      <c r="I198" s="1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8.75" customHeight="1">
      <c r="A199" s="37"/>
      <c r="B199" s="43"/>
      <c r="C199" s="63"/>
      <c r="D199" s="40"/>
      <c r="E199" s="65"/>
      <c r="F199" s="2"/>
      <c r="G199" s="1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8.75" customHeight="1">
      <c r="A200" s="78"/>
      <c r="B200" s="79"/>
      <c r="C200" s="80"/>
      <c r="D200" s="81"/>
      <c r="E200" s="7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 ht="15.75" customHeight="1">
      <c r="A201" s="37"/>
      <c r="B201" s="38"/>
      <c r="C201" s="48"/>
      <c r="D201" s="40"/>
      <c r="E201" s="65"/>
      <c r="F201" s="2"/>
      <c r="G201" s="15"/>
      <c r="H201" s="2"/>
      <c r="I201" s="1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30" customHeight="1">
      <c r="A202" s="55"/>
      <c r="B202" s="43"/>
      <c r="C202" s="63"/>
      <c r="D202" s="40"/>
      <c r="E202" s="65"/>
      <c r="F202" s="2"/>
      <c r="G202" s="15"/>
      <c r="H202" s="2"/>
      <c r="I202" s="1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20.25" customHeight="1">
      <c r="A203" s="44"/>
      <c r="B203" s="60"/>
      <c r="C203" s="61"/>
      <c r="D203" s="46"/>
      <c r="E203" s="62"/>
      <c r="F203" s="11"/>
      <c r="G203" s="11"/>
      <c r="H203" s="14"/>
      <c r="I203" s="14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8.75" customHeight="1">
      <c r="A204" s="37"/>
      <c r="B204" s="38"/>
      <c r="C204" s="39"/>
      <c r="D204" s="40"/>
      <c r="E204" s="6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31.5" customHeight="1">
      <c r="A205" s="37"/>
      <c r="B205" s="43"/>
      <c r="C205" s="39"/>
      <c r="D205" s="40"/>
      <c r="E205" s="6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8.75" customHeight="1">
      <c r="A206" s="37"/>
      <c r="B206" s="43"/>
      <c r="C206" s="39"/>
      <c r="D206" s="40"/>
      <c r="E206" s="6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8.75" customHeight="1">
      <c r="A207" s="37"/>
      <c r="B207" s="43"/>
      <c r="C207" s="39"/>
      <c r="D207" s="40"/>
      <c r="E207" s="6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8.75" customHeight="1">
      <c r="A208" s="37"/>
      <c r="B208" s="38"/>
      <c r="C208" s="39"/>
      <c r="D208" s="40"/>
      <c r="E208" s="6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31.5" customHeight="1">
      <c r="A209" s="37"/>
      <c r="B209" s="43"/>
      <c r="C209" s="39"/>
      <c r="D209" s="40"/>
      <c r="E209" s="6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31.5" customHeight="1">
      <c r="A210" s="37"/>
      <c r="B210" s="43"/>
      <c r="C210" s="39"/>
      <c r="D210" s="40"/>
      <c r="E210" s="6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20.25" customHeight="1">
      <c r="A211" s="44"/>
      <c r="B211" s="60"/>
      <c r="C211" s="61"/>
      <c r="D211" s="46"/>
      <c r="E211" s="62"/>
      <c r="F211" s="11"/>
      <c r="G211" s="11"/>
      <c r="H211" s="14"/>
      <c r="I211" s="14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8.75" customHeight="1">
      <c r="A212" s="37"/>
      <c r="B212" s="38"/>
      <c r="C212" s="39"/>
      <c r="D212" s="40"/>
      <c r="E212" s="6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44.25" customHeight="1">
      <c r="A213" s="37"/>
      <c r="B213" s="43"/>
      <c r="C213" s="39"/>
      <c r="D213" s="40"/>
      <c r="E213" s="6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33" customHeight="1">
      <c r="A214" s="37"/>
      <c r="B214" s="43"/>
      <c r="C214" s="39"/>
      <c r="D214" s="40"/>
      <c r="E214" s="6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8.75" customHeight="1">
      <c r="A215" s="37"/>
      <c r="B215" s="38"/>
      <c r="C215" s="39"/>
      <c r="D215" s="40"/>
      <c r="E215" s="6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31.5" customHeight="1">
      <c r="A216" s="37"/>
      <c r="B216" s="43"/>
      <c r="C216" s="39"/>
      <c r="D216" s="40"/>
      <c r="E216" s="6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8.75" customHeight="1">
      <c r="A217" s="37"/>
      <c r="B217" s="43"/>
      <c r="C217" s="39"/>
      <c r="D217" s="40"/>
      <c r="E217" s="6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8.75" customHeight="1">
      <c r="A218" s="37"/>
      <c r="B218" s="43"/>
      <c r="C218" s="39"/>
      <c r="D218" s="40"/>
      <c r="E218" s="6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30.75" customHeight="1">
      <c r="A219" s="37"/>
      <c r="B219" s="38"/>
      <c r="C219" s="39"/>
      <c r="D219" s="40"/>
      <c r="E219" s="6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44.25" customHeight="1">
      <c r="A220" s="37"/>
      <c r="B220" s="43"/>
      <c r="C220" s="39"/>
      <c r="D220" s="40"/>
      <c r="E220" s="6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33" customHeight="1">
      <c r="A221" s="37"/>
      <c r="B221" s="43"/>
      <c r="C221" s="39"/>
      <c r="D221" s="40"/>
      <c r="E221" s="6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20.25" customHeight="1">
      <c r="A222" s="44"/>
      <c r="B222" s="60"/>
      <c r="C222" s="61"/>
      <c r="D222" s="46"/>
      <c r="E222" s="62"/>
      <c r="F222" s="11"/>
      <c r="G222" s="11"/>
      <c r="H222" s="14"/>
      <c r="I222" s="14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8.75" customHeight="1">
      <c r="A223" s="37"/>
      <c r="B223" s="38"/>
      <c r="C223" s="39"/>
      <c r="D223" s="40"/>
      <c r="E223" s="6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44.25" customHeight="1">
      <c r="A224" s="55"/>
      <c r="B224" s="43"/>
      <c r="C224" s="39"/>
      <c r="D224" s="40"/>
      <c r="E224" s="6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32.25" customHeight="1">
      <c r="A225" s="55"/>
      <c r="B225" s="43"/>
      <c r="C225" s="39"/>
      <c r="D225" s="40"/>
      <c r="E225" s="6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35.25" customHeight="1">
      <c r="A226" s="55"/>
      <c r="B226" s="43"/>
      <c r="C226" s="39"/>
      <c r="D226" s="40"/>
      <c r="E226" s="6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20.25" customHeight="1">
      <c r="A227" s="44"/>
      <c r="B227" s="60"/>
      <c r="C227" s="61"/>
      <c r="D227" s="46"/>
      <c r="E227" s="62"/>
      <c r="F227" s="11"/>
      <c r="G227" s="11"/>
      <c r="H227" s="14"/>
      <c r="I227" s="14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8.75" customHeight="1">
      <c r="A228" s="37"/>
      <c r="B228" s="38"/>
      <c r="C228" s="39"/>
      <c r="D228" s="40"/>
      <c r="E228" s="6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33.75" customHeight="1">
      <c r="A229" s="55"/>
      <c r="B229" s="43"/>
      <c r="C229" s="39"/>
      <c r="D229" s="40"/>
      <c r="E229" s="6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7.25" customHeight="1">
      <c r="A230" s="55"/>
      <c r="B230" s="43"/>
      <c r="C230" s="48"/>
      <c r="D230" s="40"/>
      <c r="E230" s="49"/>
    </row>
    <row r="231" spans="1:25" ht="18.75" customHeight="1">
      <c r="A231" s="55"/>
      <c r="B231" s="43"/>
      <c r="C231" s="63"/>
      <c r="D231" s="40"/>
      <c r="E231" s="49"/>
    </row>
    <row r="232" spans="1:25" ht="20.25" customHeight="1">
      <c r="A232" s="55"/>
      <c r="B232" s="43"/>
      <c r="C232" s="48"/>
      <c r="D232" s="40"/>
      <c r="E232" s="49"/>
    </row>
    <row r="233" spans="1:25" ht="20.25" customHeight="1">
      <c r="A233" s="44"/>
      <c r="B233" s="60"/>
      <c r="C233" s="61"/>
      <c r="D233" s="46"/>
      <c r="E233" s="62"/>
      <c r="F233" s="11"/>
      <c r="G233" s="11"/>
      <c r="H233" s="14"/>
      <c r="I233" s="14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8.75" customHeight="1">
      <c r="A234" s="37"/>
      <c r="B234" s="38"/>
      <c r="C234" s="39"/>
      <c r="D234" s="40"/>
      <c r="E234" s="6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32.25" customHeight="1">
      <c r="A235" s="55"/>
      <c r="B235" s="43"/>
      <c r="C235" s="39"/>
      <c r="D235" s="40"/>
      <c r="E235" s="6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32.25" customHeight="1">
      <c r="A236" s="55"/>
      <c r="B236" s="43"/>
      <c r="C236" s="39"/>
      <c r="D236" s="40"/>
      <c r="E236" s="6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32.25" customHeight="1">
      <c r="A237" s="55"/>
      <c r="B237" s="43"/>
      <c r="C237" s="39"/>
      <c r="D237" s="40"/>
      <c r="E237" s="6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32.25" customHeight="1">
      <c r="A238" s="55"/>
      <c r="B238" s="43"/>
      <c r="C238" s="39"/>
      <c r="D238" s="40"/>
      <c r="E238" s="6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32.25" customHeight="1">
      <c r="A239" s="55"/>
      <c r="B239" s="43"/>
      <c r="C239" s="39"/>
      <c r="D239" s="40"/>
      <c r="E239" s="6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20.25" customHeight="1">
      <c r="A240" s="44"/>
      <c r="B240" s="60"/>
      <c r="C240" s="61"/>
      <c r="D240" s="46"/>
      <c r="E240" s="62"/>
      <c r="F240" s="11"/>
      <c r="G240" s="11"/>
      <c r="H240" s="14"/>
      <c r="I240" s="14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38.25" customHeight="1">
      <c r="A241" s="37"/>
      <c r="B241" s="38"/>
      <c r="C241" s="48"/>
      <c r="D241" s="40"/>
      <c r="E241" s="49"/>
    </row>
    <row r="242" spans="1:25" ht="33" customHeight="1">
      <c r="A242" s="37"/>
      <c r="B242" s="43"/>
      <c r="C242" s="48"/>
      <c r="D242" s="40"/>
      <c r="E242" s="49"/>
    </row>
    <row r="243" spans="1:25" ht="33" customHeight="1">
      <c r="A243" s="37"/>
      <c r="B243" s="43"/>
      <c r="C243" s="48"/>
      <c r="D243" s="40"/>
      <c r="E243" s="49"/>
    </row>
    <row r="244" spans="1:25" ht="33.75" customHeight="1">
      <c r="A244" s="37"/>
      <c r="B244" s="43"/>
      <c r="C244" s="48"/>
      <c r="D244" s="40"/>
      <c r="E244" s="49"/>
    </row>
    <row r="245" spans="1:25" ht="45.75" customHeight="1">
      <c r="A245" s="37"/>
      <c r="B245" s="43"/>
      <c r="C245" s="48"/>
      <c r="D245" s="40"/>
      <c r="E245" s="49"/>
    </row>
    <row r="246" spans="1:25" ht="18.75" customHeight="1">
      <c r="A246" s="37"/>
      <c r="B246" s="38"/>
      <c r="C246" s="48"/>
      <c r="D246" s="40"/>
      <c r="E246" s="49"/>
    </row>
    <row r="247" spans="1:25" ht="34.5" customHeight="1">
      <c r="A247" s="37"/>
      <c r="B247" s="43"/>
      <c r="C247" s="48"/>
      <c r="D247" s="40"/>
      <c r="E247" s="49"/>
    </row>
    <row r="248" spans="1:25" ht="29.25" customHeight="1">
      <c r="A248" s="37"/>
      <c r="B248" s="43"/>
      <c r="C248" s="48"/>
      <c r="D248" s="40"/>
      <c r="E248" s="49"/>
    </row>
    <row r="249" spans="1:25" ht="18.75" customHeight="1">
      <c r="A249" s="44"/>
      <c r="B249" s="34"/>
      <c r="C249" s="61"/>
      <c r="D249" s="46"/>
      <c r="E249" s="8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24" customHeight="1">
      <c r="A250" s="37"/>
      <c r="B250" s="38"/>
      <c r="C250" s="48"/>
      <c r="D250" s="40"/>
      <c r="E250" s="49"/>
    </row>
    <row r="251" spans="1:25" ht="31.5" customHeight="1">
      <c r="A251" s="37"/>
      <c r="B251" s="50"/>
      <c r="C251" s="48"/>
      <c r="D251" s="40"/>
      <c r="E251" s="49"/>
    </row>
    <row r="252" spans="1:25" ht="18.75" customHeight="1">
      <c r="A252" s="37"/>
      <c r="B252" s="50"/>
      <c r="C252" s="48"/>
      <c r="D252" s="40"/>
      <c r="E252" s="49"/>
    </row>
    <row r="253" spans="1:25" ht="15.75" customHeight="1">
      <c r="A253" s="37"/>
      <c r="B253" s="50"/>
      <c r="C253" s="48"/>
      <c r="D253" s="40"/>
      <c r="E253" s="49"/>
    </row>
    <row r="254" spans="1:25" ht="15.75" customHeight="1">
      <c r="A254" s="37"/>
      <c r="B254" s="50"/>
      <c r="C254" s="48"/>
      <c r="D254" s="40"/>
      <c r="E254" s="49"/>
    </row>
    <row r="255" spans="1:25" ht="15.75" customHeight="1">
      <c r="A255" s="37"/>
      <c r="B255" s="84"/>
      <c r="C255" s="48"/>
      <c r="D255" s="40"/>
      <c r="E255" s="49"/>
    </row>
    <row r="256" spans="1:25" ht="15.75" customHeight="1">
      <c r="A256" s="37"/>
      <c r="B256" s="50"/>
      <c r="C256" s="48"/>
      <c r="D256" s="40"/>
      <c r="E256" s="49"/>
    </row>
    <row r="257" spans="1:5" ht="15.75" customHeight="1">
      <c r="A257" s="37"/>
      <c r="B257" s="38"/>
      <c r="C257" s="48"/>
      <c r="D257" s="40"/>
      <c r="E257" s="49"/>
    </row>
    <row r="258" spans="1:5" ht="15.75" customHeight="1">
      <c r="A258" s="37"/>
      <c r="B258" s="50"/>
      <c r="C258" s="48"/>
      <c r="D258" s="40"/>
      <c r="E258" s="49"/>
    </row>
    <row r="259" spans="1:5" ht="15.75" customHeight="1">
      <c r="A259" s="37"/>
      <c r="B259" s="50"/>
      <c r="C259" s="48"/>
      <c r="D259" s="40"/>
      <c r="E259" s="49"/>
    </row>
    <row r="260" spans="1:5" ht="15.75" customHeight="1">
      <c r="A260" s="37"/>
      <c r="B260" s="38"/>
      <c r="C260" s="48"/>
      <c r="D260" s="40"/>
      <c r="E260" s="49"/>
    </row>
    <row r="261" spans="1:5" ht="15.75" customHeight="1">
      <c r="A261" s="37"/>
      <c r="B261" s="50"/>
      <c r="C261" s="48"/>
      <c r="D261" s="40"/>
      <c r="E261" s="49"/>
    </row>
    <row r="262" spans="1:5" ht="15.75" customHeight="1">
      <c r="A262" s="37"/>
      <c r="B262" s="38"/>
      <c r="C262" s="48"/>
      <c r="D262" s="40"/>
      <c r="E262" s="49"/>
    </row>
    <row r="263" spans="1:5" ht="15.75" customHeight="1">
      <c r="A263" s="37"/>
      <c r="B263" s="50"/>
      <c r="C263" s="48"/>
      <c r="D263" s="40"/>
      <c r="E263" s="49"/>
    </row>
    <row r="264" spans="1:5" ht="15.75" customHeight="1">
      <c r="A264" s="37"/>
      <c r="B264" s="50"/>
      <c r="C264" s="48"/>
      <c r="D264" s="40"/>
      <c r="E264" s="49"/>
    </row>
    <row r="265" spans="1:5" ht="15.75" customHeight="1">
      <c r="A265" s="37"/>
      <c r="B265" s="38"/>
      <c r="C265" s="48"/>
      <c r="D265" s="40"/>
      <c r="E265" s="49"/>
    </row>
    <row r="266" spans="1:5" ht="15.75" customHeight="1">
      <c r="A266" s="37"/>
      <c r="B266" s="50"/>
      <c r="C266" s="48"/>
      <c r="D266" s="40"/>
      <c r="E266" s="49"/>
    </row>
    <row r="267" spans="1:5" ht="15.75" customHeight="1">
      <c r="A267" s="37"/>
      <c r="B267" s="50"/>
      <c r="C267" s="48"/>
      <c r="D267" s="40"/>
      <c r="E267" s="49"/>
    </row>
    <row r="268" spans="1:5" ht="15.75" customHeight="1">
      <c r="A268" s="37"/>
      <c r="B268" s="38"/>
      <c r="C268" s="48"/>
      <c r="D268" s="40"/>
      <c r="E268" s="49"/>
    </row>
    <row r="269" spans="1:5" ht="15.75" customHeight="1">
      <c r="A269" s="55"/>
      <c r="B269" s="50"/>
      <c r="C269" s="48"/>
      <c r="D269" s="40"/>
      <c r="E269" s="49"/>
    </row>
    <row r="270" spans="1:5" ht="20.25" customHeight="1">
      <c r="A270" s="55"/>
      <c r="B270" s="85"/>
      <c r="C270" s="48"/>
      <c r="D270" s="40"/>
      <c r="E270" s="49"/>
    </row>
    <row r="271" spans="1:5" ht="15.75" customHeight="1">
      <c r="A271" s="55"/>
      <c r="B271" s="38"/>
      <c r="C271" s="48"/>
      <c r="D271" s="40"/>
      <c r="E271" s="65"/>
    </row>
    <row r="272" spans="1:5" ht="15.75" customHeight="1">
      <c r="A272" s="55"/>
      <c r="B272" s="38"/>
      <c r="C272" s="48"/>
      <c r="D272" s="40"/>
      <c r="E272" s="49"/>
    </row>
    <row r="273" spans="1:25" ht="15.75" customHeight="1">
      <c r="A273" s="55"/>
      <c r="B273" s="38"/>
      <c r="C273" s="49"/>
      <c r="D273" s="49"/>
      <c r="E273" s="49"/>
    </row>
    <row r="274" spans="1:25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/>
    <row r="475" spans="1:25" ht="15.75" customHeight="1"/>
    <row r="476" spans="1:25" ht="15.75" customHeight="1"/>
    <row r="477" spans="1:25" ht="15.75" customHeight="1"/>
    <row r="478" spans="1:25" ht="15.75" customHeight="1"/>
    <row r="479" spans="1:25" ht="15.75" customHeight="1"/>
    <row r="480" spans="1:25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B1:E1"/>
    <mergeCell ref="B2:E2"/>
    <mergeCell ref="A3:E3"/>
    <mergeCell ref="A4:E4"/>
  </mergeCells>
  <pageMargins left="0.39374999999999999" right="0.196527777777778" top="0.39374999999999999" bottom="0.39374999999999999" header="0" footer="0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6.140625" customWidth="1"/>
    <col min="2" max="2" width="55.28515625" customWidth="1"/>
    <col min="3" max="3" width="18.140625" customWidth="1"/>
    <col min="4" max="4" width="17.5703125" customWidth="1"/>
    <col min="5" max="5" width="15" customWidth="1"/>
    <col min="6" max="6" width="16.42578125" customWidth="1"/>
    <col min="7" max="25" width="8.7109375" customWidth="1"/>
  </cols>
  <sheetData>
    <row r="1" spans="1:26" ht="42.75">
      <c r="A1" s="17" t="s">
        <v>0</v>
      </c>
      <c r="B1" s="17" t="s">
        <v>1</v>
      </c>
      <c r="C1" s="18" t="s">
        <v>50</v>
      </c>
      <c r="D1" s="18" t="s">
        <v>51</v>
      </c>
      <c r="E1" s="19" t="s">
        <v>2</v>
      </c>
      <c r="F1" s="19" t="s">
        <v>52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>
      <c r="A2" s="3">
        <v>1</v>
      </c>
      <c r="B2" s="6" t="s">
        <v>53</v>
      </c>
      <c r="C2" s="20" t="e">
        <f>SUM(Материалы!#REF!)</f>
        <v>#REF!</v>
      </c>
      <c r="D2" s="5" t="e">
        <f t="shared" ref="D2:D17" si="0">C2*90%</f>
        <v>#REF!</v>
      </c>
      <c r="E2" s="5" t="e">
        <f>SUM(Материалы!#REF!)</f>
        <v>#REF!</v>
      </c>
      <c r="F2" s="5" t="e">
        <f>E2*57%</f>
        <v>#REF!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>
        <v>2</v>
      </c>
      <c r="B3" s="6" t="s">
        <v>3</v>
      </c>
      <c r="C3" s="20" t="e">
        <f>SUM(Материалы!#REF!)</f>
        <v>#REF!</v>
      </c>
      <c r="D3" s="5" t="e">
        <f t="shared" si="0"/>
        <v>#REF!</v>
      </c>
      <c r="E3" s="5" t="e">
        <f>SUM(Материалы!#REF!)</f>
        <v>#REF!</v>
      </c>
      <c r="F3" s="5" t="e">
        <f t="shared" ref="F3:F35" si="1">E3*65%</f>
        <v>#REF!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>
        <v>3</v>
      </c>
      <c r="B4" s="6" t="s">
        <v>4</v>
      </c>
      <c r="C4" s="20" t="e">
        <f>SUM(Материалы!#REF!)</f>
        <v>#REF!</v>
      </c>
      <c r="D4" s="5" t="e">
        <f t="shared" si="0"/>
        <v>#REF!</v>
      </c>
      <c r="E4" s="5" t="e">
        <f>SUM(Материалы!#REF!)</f>
        <v>#REF!</v>
      </c>
      <c r="F4" s="5" t="e">
        <f t="shared" si="1"/>
        <v>#REF!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>
      <c r="A5" s="3">
        <v>4</v>
      </c>
      <c r="B5" s="4" t="s">
        <v>5</v>
      </c>
      <c r="C5" s="20" t="e">
        <f>SUM(Материалы!#REF!)</f>
        <v>#REF!</v>
      </c>
      <c r="D5" s="5" t="e">
        <f t="shared" si="0"/>
        <v>#REF!</v>
      </c>
      <c r="E5" s="5" t="e">
        <f>SUM(Материалы!#REF!)</f>
        <v>#REF!</v>
      </c>
      <c r="F5" s="5" t="e">
        <f t="shared" si="1"/>
        <v>#REF!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>
        <v>5</v>
      </c>
      <c r="B6" s="4" t="s">
        <v>6</v>
      </c>
      <c r="C6" s="20" t="e">
        <f>SUM(Материалы!#REF!)</f>
        <v>#REF!</v>
      </c>
      <c r="D6" s="5" t="e">
        <f t="shared" si="0"/>
        <v>#REF!</v>
      </c>
      <c r="E6" s="5" t="e">
        <f>SUM(Материалы!#REF!)</f>
        <v>#REF!</v>
      </c>
      <c r="F6" s="5" t="e">
        <f t="shared" si="1"/>
        <v>#REF!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6</v>
      </c>
      <c r="B7" s="6" t="s">
        <v>7</v>
      </c>
      <c r="C7" s="20" t="e">
        <f>SUM(Материалы!#REF!)</f>
        <v>#REF!</v>
      </c>
      <c r="D7" s="5" t="e">
        <f t="shared" si="0"/>
        <v>#REF!</v>
      </c>
      <c r="E7" s="5" t="e">
        <f>SUM(Материалы!#REF!)</f>
        <v>#REF!</v>
      </c>
      <c r="F7" s="5" t="e">
        <f t="shared" si="1"/>
        <v>#REF!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>
        <v>7</v>
      </c>
      <c r="B8" s="6" t="s">
        <v>8</v>
      </c>
      <c r="C8" s="20" t="e">
        <f>SUM(Материалы!#REF!)</f>
        <v>#REF!</v>
      </c>
      <c r="D8" s="5" t="e">
        <f t="shared" si="0"/>
        <v>#REF!</v>
      </c>
      <c r="E8" s="5" t="e">
        <f>SUM(Материалы!#REF!)</f>
        <v>#REF!</v>
      </c>
      <c r="F8" s="5" t="e">
        <f t="shared" si="1"/>
        <v>#REF!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>
        <v>8</v>
      </c>
      <c r="B9" s="4" t="s">
        <v>9</v>
      </c>
      <c r="C9" s="20" t="e">
        <f>SUM(Материалы!#REF!)</f>
        <v>#REF!</v>
      </c>
      <c r="D9" s="5" t="e">
        <f t="shared" si="0"/>
        <v>#REF!</v>
      </c>
      <c r="E9" s="5" t="e">
        <f>SUM(Материалы!#REF!)</f>
        <v>#REF!</v>
      </c>
      <c r="F9" s="5" t="e">
        <f t="shared" si="1"/>
        <v>#REF!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>
        <v>9</v>
      </c>
      <c r="B10" s="6" t="s">
        <v>10</v>
      </c>
      <c r="C10" s="20"/>
      <c r="D10" s="5">
        <f t="shared" si="0"/>
        <v>0</v>
      </c>
      <c r="E10" s="5" t="e">
        <f>SUM(Материалы!#REF!)</f>
        <v>#REF!</v>
      </c>
      <c r="F10" s="5" t="e">
        <f t="shared" si="1"/>
        <v>#REF!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>
        <v>10</v>
      </c>
      <c r="B11" s="6" t="s">
        <v>11</v>
      </c>
      <c r="C11" s="20" t="e">
        <f>SUM(Материалы!#REF!)</f>
        <v>#REF!</v>
      </c>
      <c r="D11" s="5" t="e">
        <f t="shared" si="0"/>
        <v>#REF!</v>
      </c>
      <c r="E11" s="5" t="e">
        <f>SUM(Материалы!#REF!)</f>
        <v>#REF!</v>
      </c>
      <c r="F11" s="5" t="e">
        <f t="shared" si="1"/>
        <v>#REF!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>
        <v>11</v>
      </c>
      <c r="B12" s="6" t="s">
        <v>12</v>
      </c>
      <c r="C12" s="20" t="e">
        <f>SUM(Материалы!#REF!)</f>
        <v>#REF!</v>
      </c>
      <c r="D12" s="5" t="e">
        <f t="shared" si="0"/>
        <v>#REF!</v>
      </c>
      <c r="E12" s="5" t="e">
        <f>SUM(Материалы!#REF!)</f>
        <v>#REF!</v>
      </c>
      <c r="F12" s="5" t="e">
        <f t="shared" si="1"/>
        <v>#REF!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>
        <v>12</v>
      </c>
      <c r="B13" s="6" t="s">
        <v>13</v>
      </c>
      <c r="C13" s="20" t="e">
        <f>SUM(Материалы!#REF!)</f>
        <v>#REF!</v>
      </c>
      <c r="D13" s="5" t="e">
        <f t="shared" si="0"/>
        <v>#REF!</v>
      </c>
      <c r="E13" s="5" t="e">
        <f>SUM(Материалы!#REF!)</f>
        <v>#REF!</v>
      </c>
      <c r="F13" s="5" t="e">
        <f t="shared" si="1"/>
        <v>#REF!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>
        <v>13</v>
      </c>
      <c r="B14" s="6" t="s">
        <v>14</v>
      </c>
      <c r="C14" s="20"/>
      <c r="D14" s="5">
        <f t="shared" si="0"/>
        <v>0</v>
      </c>
      <c r="E14" s="5"/>
      <c r="F14" s="5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>
      <c r="A15" s="3">
        <v>14</v>
      </c>
      <c r="B15" s="4" t="s">
        <v>15</v>
      </c>
      <c r="C15" s="20" t="e">
        <f>SUM(Материалы!#REF!)</f>
        <v>#REF!</v>
      </c>
      <c r="D15" s="5" t="e">
        <f t="shared" si="0"/>
        <v>#REF!</v>
      </c>
      <c r="E15" s="5" t="e">
        <f>SUM(Материалы!#REF!)</f>
        <v>#REF!</v>
      </c>
      <c r="F15" s="5" t="e">
        <f t="shared" si="1"/>
        <v>#REF!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>
        <v>15</v>
      </c>
      <c r="B16" s="6" t="s">
        <v>16</v>
      </c>
      <c r="C16" s="20" t="e">
        <f>SUM(Материалы!#REF!)</f>
        <v>#REF!</v>
      </c>
      <c r="D16" s="5" t="e">
        <f t="shared" si="0"/>
        <v>#REF!</v>
      </c>
      <c r="E16" s="5" t="e">
        <f>SUM(Материалы!#REF!)</f>
        <v>#REF!</v>
      </c>
      <c r="F16" s="5" t="e">
        <f t="shared" si="1"/>
        <v>#REF!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>
        <v>16</v>
      </c>
      <c r="B17" s="6" t="s">
        <v>17</v>
      </c>
      <c r="C17" s="20" t="e">
        <f>SUM(Материалы!#REF!)</f>
        <v>#REF!</v>
      </c>
      <c r="D17" s="5" t="e">
        <f t="shared" si="0"/>
        <v>#REF!</v>
      </c>
      <c r="E17" s="5" t="e">
        <f>SUM(Материалы!#REF!)</f>
        <v>#REF!</v>
      </c>
      <c r="F17" s="5" t="e">
        <f t="shared" si="1"/>
        <v>#REF!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>
      <c r="A18" s="3"/>
      <c r="B18" s="4" t="s">
        <v>18</v>
      </c>
      <c r="C18" s="21" t="s">
        <v>54</v>
      </c>
      <c r="D18" s="5"/>
      <c r="E18" s="22"/>
      <c r="F18" s="5">
        <f t="shared" si="1"/>
        <v>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>
        <v>17</v>
      </c>
      <c r="B19" s="6" t="s">
        <v>19</v>
      </c>
      <c r="C19" s="20" t="e">
        <f>SUM(Материалы!#REF!)</f>
        <v>#REF!</v>
      </c>
      <c r="D19" s="5" t="e">
        <f t="shared" ref="D19:D21" si="2">C19*90%</f>
        <v>#REF!</v>
      </c>
      <c r="E19" s="5" t="e">
        <f>SUM(Материалы!#REF!)</f>
        <v>#REF!</v>
      </c>
      <c r="F19" s="5" t="e">
        <f t="shared" si="1"/>
        <v>#REF!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>
        <v>18</v>
      </c>
      <c r="B20" s="6" t="s">
        <v>20</v>
      </c>
      <c r="C20" s="20" t="e">
        <f>SUM(Материалы!#REF!)</f>
        <v>#REF!</v>
      </c>
      <c r="D20" s="5" t="e">
        <f t="shared" si="2"/>
        <v>#REF!</v>
      </c>
      <c r="E20" s="5" t="e">
        <f>SUM(Материалы!#REF!)</f>
        <v>#REF!</v>
      </c>
      <c r="F20" s="5" t="e">
        <f t="shared" si="1"/>
        <v>#REF!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>
        <v>19</v>
      </c>
      <c r="B21" s="6" t="s">
        <v>21</v>
      </c>
      <c r="C21" s="20" t="e">
        <f>SUM(Материалы!#REF!)</f>
        <v>#REF!</v>
      </c>
      <c r="D21" s="5" t="e">
        <f t="shared" si="2"/>
        <v>#REF!</v>
      </c>
      <c r="E21" s="5" t="e">
        <f>SUM(Материалы!#REF!)</f>
        <v>#REF!</v>
      </c>
      <c r="F21" s="5" t="e">
        <f t="shared" si="1"/>
        <v>#REF!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3">
        <v>20</v>
      </c>
      <c r="B22" s="6" t="s">
        <v>22</v>
      </c>
      <c r="C22" s="20" t="s">
        <v>55</v>
      </c>
      <c r="D22" s="5"/>
      <c r="E22" s="5" t="e">
        <f>SUM(Материалы!#REF!)</f>
        <v>#REF!</v>
      </c>
      <c r="F22" s="5" t="e">
        <f t="shared" si="1"/>
        <v>#REF!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3">
        <v>21</v>
      </c>
      <c r="B23" s="6" t="s">
        <v>23</v>
      </c>
      <c r="C23" s="20"/>
      <c r="D23" s="5">
        <f t="shared" ref="D23:D35" si="3">C23*90%</f>
        <v>0</v>
      </c>
      <c r="E23" s="5" t="e">
        <f>SUM(Материалы!#REF!)</f>
        <v>#REF!</v>
      </c>
      <c r="F23" s="5" t="e">
        <f t="shared" si="1"/>
        <v>#REF!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3">
        <v>22</v>
      </c>
      <c r="B24" s="6" t="s">
        <v>24</v>
      </c>
      <c r="C24" s="20" t="e">
        <f>SUM(Материалы!#REF!)</f>
        <v>#REF!</v>
      </c>
      <c r="D24" s="5" t="e">
        <f t="shared" si="3"/>
        <v>#REF!</v>
      </c>
      <c r="E24" s="5" t="e">
        <f>SUM(Материалы!#REF!)</f>
        <v>#REF!</v>
      </c>
      <c r="F24" s="5" t="e">
        <f t="shared" si="1"/>
        <v>#REF!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3">
        <v>23</v>
      </c>
      <c r="B25" s="6" t="s">
        <v>25</v>
      </c>
      <c r="C25" s="20" t="e">
        <f>SUM(Материалы!#REF!)</f>
        <v>#REF!</v>
      </c>
      <c r="D25" s="5" t="e">
        <f t="shared" si="3"/>
        <v>#REF!</v>
      </c>
      <c r="E25" s="5" t="e">
        <f>SUM(Материалы!#REF!)</f>
        <v>#REF!</v>
      </c>
      <c r="F25" s="5" t="e">
        <f t="shared" si="1"/>
        <v>#REF!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3">
        <v>24</v>
      </c>
      <c r="B26" s="6" t="s">
        <v>26</v>
      </c>
      <c r="C26" s="20" t="e">
        <f>SUM(Материалы!#REF!)</f>
        <v>#REF!</v>
      </c>
      <c r="D26" s="5" t="e">
        <f t="shared" si="3"/>
        <v>#REF!</v>
      </c>
      <c r="E26" s="5" t="e">
        <f>SUM(Материалы!#REF!)</f>
        <v>#REF!</v>
      </c>
      <c r="F26" s="5" t="e">
        <f t="shared" si="1"/>
        <v>#REF!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3">
        <v>25</v>
      </c>
      <c r="B27" s="6" t="s">
        <v>27</v>
      </c>
      <c r="C27" s="20" t="e">
        <f>SUM(Материалы!#REF!)</f>
        <v>#REF!</v>
      </c>
      <c r="D27" s="5" t="e">
        <f t="shared" si="3"/>
        <v>#REF!</v>
      </c>
      <c r="E27" s="5" t="e">
        <f>SUM(Материалы!#REF!)</f>
        <v>#REF!</v>
      </c>
      <c r="F27" s="5" t="e">
        <f t="shared" si="1"/>
        <v>#REF!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3">
        <v>26</v>
      </c>
      <c r="B28" s="6" t="s">
        <v>28</v>
      </c>
      <c r="C28" s="5" t="e">
        <f>SUM(Материалы!#REF!)</f>
        <v>#REF!</v>
      </c>
      <c r="D28" s="5" t="e">
        <f t="shared" si="3"/>
        <v>#REF!</v>
      </c>
      <c r="E28" s="5" t="e">
        <f>SUM(Материалы!#REF!)</f>
        <v>#REF!</v>
      </c>
      <c r="F28" s="5" t="e">
        <f t="shared" si="1"/>
        <v>#REF!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3">
        <v>27</v>
      </c>
      <c r="B29" s="6" t="s">
        <v>29</v>
      </c>
      <c r="C29" s="5" t="e">
        <f>SUM(Материалы!#REF!)</f>
        <v>#REF!</v>
      </c>
      <c r="D29" s="5" t="e">
        <f t="shared" si="3"/>
        <v>#REF!</v>
      </c>
      <c r="E29" s="5" t="e">
        <f>SUM(Материалы!#REF!)</f>
        <v>#REF!</v>
      </c>
      <c r="F29" s="5" t="e">
        <f t="shared" si="1"/>
        <v>#REF!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3">
        <v>28</v>
      </c>
      <c r="B30" s="6" t="s">
        <v>30</v>
      </c>
      <c r="C30" s="5" t="e">
        <f>SUM(Материалы!#REF!)</f>
        <v>#REF!</v>
      </c>
      <c r="D30" s="5" t="e">
        <f t="shared" si="3"/>
        <v>#REF!</v>
      </c>
      <c r="E30" s="5" t="e">
        <f>SUM(Материалы!#REF!)</f>
        <v>#REF!</v>
      </c>
      <c r="F30" s="5" t="e">
        <f t="shared" si="1"/>
        <v>#REF!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3">
        <v>29</v>
      </c>
      <c r="B31" s="6" t="s">
        <v>31</v>
      </c>
      <c r="C31" s="5" t="e">
        <f>SUM(Материалы!#REF!)</f>
        <v>#REF!</v>
      </c>
      <c r="D31" s="5" t="e">
        <f t="shared" si="3"/>
        <v>#REF!</v>
      </c>
      <c r="E31" s="5" t="e">
        <f>SUM(Материалы!#REF!)</f>
        <v>#REF!</v>
      </c>
      <c r="F31" s="5" t="e">
        <f t="shared" si="1"/>
        <v>#REF!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3">
        <v>30</v>
      </c>
      <c r="B32" s="6" t="s">
        <v>32</v>
      </c>
      <c r="C32" s="5" t="e">
        <f>SUM(Материалы!#REF!)</f>
        <v>#REF!</v>
      </c>
      <c r="D32" s="5" t="e">
        <f t="shared" si="3"/>
        <v>#REF!</v>
      </c>
      <c r="E32" s="5" t="e">
        <f>SUM(Материалы!#REF!)</f>
        <v>#REF!</v>
      </c>
      <c r="F32" s="5" t="e">
        <f t="shared" si="1"/>
        <v>#REF!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3">
        <v>31</v>
      </c>
      <c r="B33" s="6" t="s">
        <v>33</v>
      </c>
      <c r="C33" s="5" t="e">
        <f>SUM(Материалы!#REF!)</f>
        <v>#REF!</v>
      </c>
      <c r="D33" s="5" t="e">
        <f t="shared" si="3"/>
        <v>#REF!</v>
      </c>
      <c r="E33" s="5" t="e">
        <f>SUM(Материалы!#REF!)</f>
        <v>#REF!</v>
      </c>
      <c r="F33" s="5" t="e">
        <f t="shared" si="1"/>
        <v>#REF!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3">
        <v>32</v>
      </c>
      <c r="B34" s="6" t="s">
        <v>34</v>
      </c>
      <c r="C34" s="5" t="e">
        <f>SUM(Материалы!#REF!)</f>
        <v>#REF!</v>
      </c>
      <c r="D34" s="5" t="e">
        <f t="shared" si="3"/>
        <v>#REF!</v>
      </c>
      <c r="E34" s="5" t="e">
        <f>SUM(Материалы!#REF!)</f>
        <v>#REF!</v>
      </c>
      <c r="F34" s="5" t="e">
        <f t="shared" si="1"/>
        <v>#REF!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3">
        <v>33</v>
      </c>
      <c r="B35" s="6" t="s">
        <v>35</v>
      </c>
      <c r="C35" s="5" t="e">
        <f>SUM(Материалы!#REF!)</f>
        <v>#REF!</v>
      </c>
      <c r="D35" s="5" t="e">
        <f t="shared" si="3"/>
        <v>#REF!</v>
      </c>
      <c r="E35" s="5" t="e">
        <f>SUM(Материалы!#REF!)</f>
        <v>#REF!</v>
      </c>
      <c r="F35" s="5" t="e">
        <f t="shared" si="1"/>
        <v>#REF!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6"/>
      <c r="B36" s="6"/>
      <c r="C36" s="5"/>
      <c r="D36" s="5"/>
      <c r="E36" s="5"/>
      <c r="F36" s="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6"/>
      <c r="B37" s="6"/>
      <c r="C37" s="5"/>
      <c r="D37" s="5"/>
      <c r="E37" s="5"/>
      <c r="F37" s="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6"/>
      <c r="B38" s="6" t="s">
        <v>36</v>
      </c>
      <c r="C38" s="5" t="e">
        <f>SUM(C2:C37)</f>
        <v>#REF!</v>
      </c>
      <c r="D38" s="5" t="e">
        <f>SUM(D2:D35)</f>
        <v>#REF!</v>
      </c>
      <c r="E38" s="5" t="e">
        <f t="shared" ref="E38:F38" si="4">SUM(E2:E37)</f>
        <v>#REF!</v>
      </c>
      <c r="F38" s="5" t="e">
        <f t="shared" si="4"/>
        <v>#REF!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7"/>
      <c r="B39" s="7" t="s">
        <v>36</v>
      </c>
      <c r="C39" s="23" t="s">
        <v>56</v>
      </c>
      <c r="D39" s="24" t="e">
        <f>C38+E38</f>
        <v>#REF!</v>
      </c>
      <c r="E39" s="24" t="s">
        <v>57</v>
      </c>
      <c r="F39" s="25" t="e">
        <f>D38+F38</f>
        <v>#REF!</v>
      </c>
      <c r="G39" s="2" t="s">
        <v>58</v>
      </c>
      <c r="H39" s="26" t="e">
        <f>D39-F39</f>
        <v>#REF!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8"/>
      <c r="F40" s="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8"/>
      <c r="F41" s="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8"/>
      <c r="F42" s="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8"/>
      <c r="F43" s="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8"/>
      <c r="F44" s="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8"/>
      <c r="F45" s="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8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8"/>
      <c r="F47" s="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8"/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8"/>
      <c r="F49" s="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8"/>
      <c r="F50" s="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8"/>
      <c r="F51" s="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8"/>
      <c r="F52" s="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8"/>
      <c r="F53" s="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8"/>
      <c r="F54" s="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8"/>
      <c r="F55" s="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8"/>
      <c r="F56" s="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8"/>
      <c r="F57" s="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8"/>
      <c r="F58" s="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8"/>
      <c r="F59" s="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8"/>
      <c r="F60" s="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8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8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8"/>
      <c r="F63" s="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8"/>
      <c r="F64" s="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8"/>
      <c r="F65" s="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8"/>
      <c r="F66" s="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8"/>
      <c r="F67" s="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8"/>
      <c r="F68" s="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8"/>
      <c r="F69" s="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8"/>
      <c r="F70" s="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8"/>
      <c r="F71" s="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8"/>
      <c r="F72" s="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8"/>
      <c r="F73" s="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8"/>
      <c r="F74" s="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8"/>
      <c r="F75" s="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8"/>
      <c r="F76" s="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8"/>
      <c r="F77" s="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8"/>
      <c r="F78" s="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8"/>
      <c r="F79" s="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8"/>
      <c r="F80" s="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8"/>
      <c r="F81" s="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8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8"/>
      <c r="F83" s="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8"/>
      <c r="F84" s="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8"/>
      <c r="F85" s="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8"/>
      <c r="F86" s="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8"/>
      <c r="F87" s="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8"/>
      <c r="F88" s="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8"/>
      <c r="F89" s="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8"/>
      <c r="F90" s="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8"/>
      <c r="F91" s="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8"/>
      <c r="F92" s="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8"/>
      <c r="F93" s="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8"/>
      <c r="F94" s="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8"/>
      <c r="F95" s="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8"/>
      <c r="F96" s="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8"/>
      <c r="F97" s="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8"/>
      <c r="F98" s="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8"/>
      <c r="F99" s="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8"/>
      <c r="F100" s="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8"/>
      <c r="F101" s="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8"/>
      <c r="F102" s="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8"/>
      <c r="F103" s="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8"/>
      <c r="F104" s="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8"/>
      <c r="F105" s="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8"/>
      <c r="F106" s="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8"/>
      <c r="F107" s="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8"/>
      <c r="F108" s="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8"/>
      <c r="F109" s="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8"/>
      <c r="F110" s="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8"/>
      <c r="F111" s="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8"/>
      <c r="F112" s="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8"/>
      <c r="F113" s="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8"/>
      <c r="F114" s="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8"/>
      <c r="F115" s="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8"/>
      <c r="F116" s="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8"/>
      <c r="F117" s="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8"/>
      <c r="F118" s="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8"/>
      <c r="F119" s="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8"/>
      <c r="F120" s="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8"/>
      <c r="F121" s="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8"/>
      <c r="F122" s="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8"/>
      <c r="F123" s="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8"/>
      <c r="F124" s="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8"/>
      <c r="F125" s="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8"/>
      <c r="F126" s="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8"/>
      <c r="F127" s="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8"/>
      <c r="F128" s="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8"/>
      <c r="F129" s="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8"/>
      <c r="F130" s="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8"/>
      <c r="F131" s="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8"/>
      <c r="F132" s="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8"/>
      <c r="F133" s="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8"/>
      <c r="F134" s="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8"/>
      <c r="F135" s="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8"/>
      <c r="F136" s="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8"/>
      <c r="F137" s="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8"/>
      <c r="F138" s="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8"/>
      <c r="F139" s="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8"/>
      <c r="F140" s="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8"/>
      <c r="F141" s="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8"/>
      <c r="F142" s="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8"/>
      <c r="F143" s="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8"/>
      <c r="F144" s="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8"/>
      <c r="F145" s="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8"/>
      <c r="F146" s="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8"/>
      <c r="F147" s="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8"/>
      <c r="F148" s="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8"/>
      <c r="F149" s="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8"/>
      <c r="F150" s="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8"/>
      <c r="F151" s="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8"/>
      <c r="F152" s="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8"/>
      <c r="F153" s="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8"/>
      <c r="F154" s="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8"/>
      <c r="F155" s="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8"/>
      <c r="F156" s="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8"/>
      <c r="F157" s="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8"/>
      <c r="F158" s="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8"/>
      <c r="F159" s="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8"/>
      <c r="F160" s="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8"/>
      <c r="F161" s="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8"/>
      <c r="F162" s="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8"/>
      <c r="F163" s="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8"/>
      <c r="F164" s="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8"/>
      <c r="F165" s="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8"/>
      <c r="F166" s="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8"/>
      <c r="F167" s="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8"/>
      <c r="F168" s="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8"/>
      <c r="F169" s="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8"/>
      <c r="F170" s="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8"/>
      <c r="F171" s="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8"/>
      <c r="F172" s="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8"/>
      <c r="F173" s="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8"/>
      <c r="F174" s="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8"/>
      <c r="F175" s="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8"/>
      <c r="F176" s="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8"/>
      <c r="F177" s="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8"/>
      <c r="F178" s="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8"/>
      <c r="F179" s="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8"/>
      <c r="F180" s="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8"/>
      <c r="F181" s="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8"/>
      <c r="F182" s="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8"/>
      <c r="F183" s="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8"/>
      <c r="F184" s="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8"/>
      <c r="F185" s="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8"/>
      <c r="F186" s="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8"/>
      <c r="F187" s="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8"/>
      <c r="F188" s="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8"/>
      <c r="F189" s="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8"/>
      <c r="F190" s="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8"/>
      <c r="F191" s="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8"/>
      <c r="F192" s="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8"/>
      <c r="F193" s="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8"/>
      <c r="F194" s="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8"/>
      <c r="F195" s="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8"/>
      <c r="F196" s="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8"/>
      <c r="F197" s="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8"/>
      <c r="F198" s="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8"/>
      <c r="F199" s="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8"/>
      <c r="F200" s="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8"/>
      <c r="F201" s="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8"/>
      <c r="F202" s="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8"/>
      <c r="F203" s="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8"/>
      <c r="F204" s="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8"/>
      <c r="F205" s="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8"/>
      <c r="F206" s="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8"/>
      <c r="F207" s="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8"/>
      <c r="F208" s="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8"/>
      <c r="F209" s="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8"/>
      <c r="F210" s="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8"/>
      <c r="F211" s="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8"/>
      <c r="F212" s="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8"/>
      <c r="F213" s="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8"/>
      <c r="F214" s="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8"/>
      <c r="F215" s="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8"/>
      <c r="F216" s="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8"/>
      <c r="F217" s="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8"/>
      <c r="F218" s="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8"/>
      <c r="F219" s="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8"/>
      <c r="F220" s="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8"/>
      <c r="F221" s="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8"/>
      <c r="F222" s="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8"/>
      <c r="F223" s="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8"/>
      <c r="F224" s="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8"/>
      <c r="F225" s="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8"/>
      <c r="F226" s="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8"/>
      <c r="F227" s="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8"/>
      <c r="F228" s="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8"/>
      <c r="F229" s="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8"/>
      <c r="F230" s="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8"/>
      <c r="F231" s="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8"/>
      <c r="F232" s="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8"/>
      <c r="F233" s="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8"/>
      <c r="F234" s="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8"/>
      <c r="F235" s="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8"/>
      <c r="F236" s="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8"/>
      <c r="F237" s="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8"/>
      <c r="F238" s="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8"/>
      <c r="F239" s="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Материалы</vt:lpstr>
      <vt:lpstr>Расчеты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ZAPEVALOV</cp:lastModifiedBy>
  <dcterms:created xsi:type="dcterms:W3CDTF">2016-06-25T17:20:41Z</dcterms:created>
  <dcterms:modified xsi:type="dcterms:W3CDTF">2023-01-13T08:40:13Z</dcterms:modified>
</cp:coreProperties>
</file>