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Материалы" sheetId="2" r:id="rId1"/>
    <sheet name="Расчеты" sheetId="3" state="hidden" r:id="rId2"/>
  </sheets>
  <calcPr calcId="144525"/>
  <extLst>
    <ext uri="GoogleSheetsCustomDataVersion1">
      <go:sheetsCustomData xmlns:go="http://customooxmlschemas.google.com/" r:id="" roundtripDataSignature="AMtx7mgbWVjNUfBCbSr29CtwwLBPrlmUEw=="/>
    </ext>
  </extLst>
</workbook>
</file>

<file path=xl/calcChain.xml><?xml version="1.0" encoding="utf-8"?>
<calcChain xmlns="http://schemas.openxmlformats.org/spreadsheetml/2006/main">
  <c r="D23" i="3" l="1"/>
  <c r="F18" i="3"/>
  <c r="F14" i="3"/>
  <c r="D14" i="3"/>
  <c r="D10" i="3"/>
  <c r="C4" i="3"/>
  <c r="D4" i="3" s="1"/>
  <c r="C3" i="3"/>
  <c r="D3" i="3" s="1"/>
  <c r="C2" i="3"/>
  <c r="D2" i="3" s="1"/>
  <c r="C34" i="3"/>
  <c r="D34" i="3" s="1"/>
  <c r="E33" i="3"/>
  <c r="F33" i="3" s="1"/>
  <c r="D232" i="2"/>
  <c r="D230" i="2"/>
  <c r="E28" i="3"/>
  <c r="F28" i="3" s="1"/>
  <c r="D199" i="2"/>
  <c r="D196" i="2"/>
  <c r="D195" i="2"/>
  <c r="D193" i="2"/>
  <c r="D190" i="2"/>
  <c r="D189" i="2"/>
  <c r="E27" i="3"/>
  <c r="F27" i="3" s="1"/>
  <c r="D178" i="2"/>
  <c r="D176" i="2"/>
  <c r="C25" i="3"/>
  <c r="D25" i="3" s="1"/>
  <c r="D164" i="2"/>
  <c r="D159" i="2"/>
  <c r="D135" i="2"/>
  <c r="D132" i="2"/>
  <c r="D131" i="2"/>
  <c r="D130" i="2"/>
  <c r="D128" i="2"/>
  <c r="D127" i="2"/>
  <c r="D126" i="2"/>
  <c r="D125" i="2"/>
  <c r="D124" i="2"/>
  <c r="D121" i="2"/>
  <c r="D120" i="2"/>
  <c r="D119" i="2"/>
  <c r="D117" i="2"/>
  <c r="D118" i="2" s="1"/>
  <c r="D116" i="2"/>
  <c r="D115" i="2"/>
  <c r="D114" i="2"/>
  <c r="D113" i="2"/>
  <c r="D112" i="2"/>
  <c r="D78" i="2"/>
  <c r="D77" i="2"/>
  <c r="D71" i="2"/>
  <c r="D69" i="2"/>
  <c r="D67" i="2"/>
  <c r="D66" i="2"/>
  <c r="D54" i="2"/>
  <c r="D55" i="2" s="1"/>
  <c r="D50" i="2"/>
  <c r="D48" i="2"/>
  <c r="D56" i="2" l="1"/>
  <c r="E2" i="3"/>
  <c r="E4" i="3"/>
  <c r="F4" i="3" s="1"/>
  <c r="C5" i="3"/>
  <c r="D5" i="3" s="1"/>
  <c r="C6" i="3"/>
  <c r="D6" i="3" s="1"/>
  <c r="C7" i="3"/>
  <c r="D7" i="3" s="1"/>
  <c r="C8" i="3"/>
  <c r="D8" i="3" s="1"/>
  <c r="E9" i="3"/>
  <c r="F9" i="3" s="1"/>
  <c r="E11" i="3"/>
  <c r="F11" i="3" s="1"/>
  <c r="C12" i="3"/>
  <c r="D12" i="3" s="1"/>
  <c r="C15" i="3"/>
  <c r="D15" i="3" s="1"/>
  <c r="E16" i="3"/>
  <c r="F16" i="3" s="1"/>
  <c r="E17" i="3"/>
  <c r="F17" i="3" s="1"/>
  <c r="D129" i="2"/>
  <c r="E26" i="3"/>
  <c r="F26" i="3" s="1"/>
  <c r="C29" i="3"/>
  <c r="D29" i="3" s="1"/>
  <c r="E30" i="3"/>
  <c r="F30" i="3" s="1"/>
  <c r="E31" i="3"/>
  <c r="F31" i="3" s="1"/>
  <c r="E32" i="3"/>
  <c r="F32" i="3" s="1"/>
  <c r="E3" i="3"/>
  <c r="F3" i="3" s="1"/>
  <c r="E5" i="3"/>
  <c r="F5" i="3" s="1"/>
  <c r="E6" i="3"/>
  <c r="F6" i="3" s="1"/>
  <c r="E7" i="3"/>
  <c r="F7" i="3" s="1"/>
  <c r="E8" i="3"/>
  <c r="F8" i="3" s="1"/>
  <c r="C9" i="3"/>
  <c r="D9" i="3" s="1"/>
  <c r="E10" i="3"/>
  <c r="F10" i="3" s="1"/>
  <c r="C11" i="3"/>
  <c r="D11" i="3" s="1"/>
  <c r="E13" i="3"/>
  <c r="F13" i="3" s="1"/>
  <c r="E15" i="3"/>
  <c r="F15" i="3" s="1"/>
  <c r="C16" i="3"/>
  <c r="D16" i="3" s="1"/>
  <c r="C17" i="3"/>
  <c r="D17" i="3" s="1"/>
  <c r="E19" i="3"/>
  <c r="F19" i="3" s="1"/>
  <c r="C20" i="3"/>
  <c r="D20" i="3" s="1"/>
  <c r="C21" i="3"/>
  <c r="D21" i="3" s="1"/>
  <c r="E22" i="3"/>
  <c r="F22" i="3" s="1"/>
  <c r="E24" i="3"/>
  <c r="F24" i="3" s="1"/>
  <c r="C13" i="3"/>
  <c r="D13" i="3" s="1"/>
  <c r="E20" i="3"/>
  <c r="F20" i="3" s="1"/>
  <c r="E21" i="3"/>
  <c r="F21" i="3" s="1"/>
  <c r="E23" i="3"/>
  <c r="F23" i="3" s="1"/>
  <c r="C24" i="3"/>
  <c r="D24" i="3" s="1"/>
  <c r="D177" i="2"/>
  <c r="E29" i="3"/>
  <c r="F29" i="3" s="1"/>
  <c r="C30" i="3"/>
  <c r="D30" i="3" s="1"/>
  <c r="C31" i="3"/>
  <c r="D31" i="3" s="1"/>
  <c r="C32" i="3"/>
  <c r="D32" i="3" s="1"/>
  <c r="C35" i="3"/>
  <c r="D35" i="3" s="1"/>
  <c r="E25" i="3"/>
  <c r="F25" i="3" s="1"/>
  <c r="C27" i="3"/>
  <c r="D27" i="3" s="1"/>
  <c r="C28" i="3"/>
  <c r="D28" i="3" s="1"/>
  <c r="C33" i="3"/>
  <c r="D33" i="3" s="1"/>
  <c r="E34" i="3"/>
  <c r="F34" i="3" s="1"/>
  <c r="E35" i="3"/>
  <c r="F35" i="3" s="1"/>
  <c r="C26" i="3" l="1"/>
  <c r="D26" i="3" s="1"/>
  <c r="E12" i="3"/>
  <c r="F12" i="3" s="1"/>
  <c r="C19" i="3"/>
  <c r="F2" i="3"/>
  <c r="F38" i="3" s="1"/>
  <c r="E38" i="3" l="1"/>
  <c r="D19" i="3"/>
  <c r="D38" i="3" s="1"/>
  <c r="F39" i="3" s="1"/>
  <c r="C38" i="3"/>
  <c r="D39" i="3" s="1"/>
  <c r="H39" i="3" l="1"/>
</calcChain>
</file>

<file path=xl/sharedStrings.xml><?xml version="1.0" encoding="utf-8"?>
<sst xmlns="http://schemas.openxmlformats.org/spreadsheetml/2006/main" count="643" uniqueCount="392">
  <si>
    <t>№</t>
  </si>
  <si>
    <t>Наименование работ</t>
  </si>
  <si>
    <t>Стоимость работ (план)</t>
  </si>
  <si>
    <t>Додемонтаж</t>
  </si>
  <si>
    <t>Выямка грунта для полов</t>
  </si>
  <si>
    <t>Кладочные работы (закладка окон)3100 кирипича 6 м3 с оставлением отверстий под вентиляцию</t>
  </si>
  <si>
    <t>Монтаж окон с отливами (без подоконников и откосов)</t>
  </si>
  <si>
    <t>Монтаж входных дверей (без отделки)</t>
  </si>
  <si>
    <t>Устройство временного освещения и отопления</t>
  </si>
  <si>
    <t>Монтаж водоотведения</t>
  </si>
  <si>
    <t>Подвод горячего водоснабжения и системы отопления</t>
  </si>
  <si>
    <t>Черновой монтаж ГВС и ХВС</t>
  </si>
  <si>
    <t>Полы (пирог по грунту)</t>
  </si>
  <si>
    <t>Полы финальная стяжка</t>
  </si>
  <si>
    <t>Разметка помщений</t>
  </si>
  <si>
    <t>Черновые электромонтажные работы (+Слаботочка выполняется, но считается отдельно)</t>
  </si>
  <si>
    <t>14а</t>
  </si>
  <si>
    <t>Прокладка вентиляции</t>
  </si>
  <si>
    <t>Обшивка стен ГКЛ</t>
  </si>
  <si>
    <t>Монтаж электрощита и подключение временного освещения</t>
  </si>
  <si>
    <t>Монтаж перегородок ГКЛ</t>
  </si>
  <si>
    <t>Монтаж потолка ГКЛ</t>
  </si>
  <si>
    <t>Отделка потолка черновая</t>
  </si>
  <si>
    <t>Монтаж подоконников и откосов</t>
  </si>
  <si>
    <t>Отделка входных дверей</t>
  </si>
  <si>
    <t>Отделка стен черновая</t>
  </si>
  <si>
    <t>Монтаж системы отопления</t>
  </si>
  <si>
    <t>Укладка плитки на стены</t>
  </si>
  <si>
    <t>Укладка плитки на пол</t>
  </si>
  <si>
    <t>Монтаж реечного потолка ванна</t>
  </si>
  <si>
    <t xml:space="preserve">Чистовая отделка потолка </t>
  </si>
  <si>
    <t>Чистовая отделка стен</t>
  </si>
  <si>
    <t xml:space="preserve">Укладка ламината </t>
  </si>
  <si>
    <t>Монтаж межкомнатных дверей</t>
  </si>
  <si>
    <t>Установка плинтусов</t>
  </si>
  <si>
    <t>Чистовые электромонтажные работы</t>
  </si>
  <si>
    <t>Установка сантехники</t>
  </si>
  <si>
    <t>Итого:</t>
  </si>
  <si>
    <r>
      <rPr>
        <sz val="9"/>
        <color rgb="FF00000A"/>
        <rFont val="Times New Roman"/>
      </rPr>
      <t xml:space="preserve">Исх. № 39/1  от </t>
    </r>
    <r>
      <rPr>
        <u/>
        <sz val="11"/>
        <color rgb="FF00000A"/>
        <rFont val="Times New Roman"/>
      </rPr>
      <t>«13» декабря</t>
    </r>
    <r>
      <rPr>
        <sz val="11"/>
        <color rgb="FF00000A"/>
        <rFont val="Times New Roman"/>
      </rPr>
      <t xml:space="preserve">   2022г.</t>
    </r>
  </si>
  <si>
    <t>на выполнение  СМР в здании Литер «Е»</t>
  </si>
  <si>
    <t xml:space="preserve">      Адрес объекта: г. Санкт-Петербург, ш. Приморское, д. 696, ДОК «Буревестник», здание лит "Е".</t>
  </si>
  <si>
    <t>№ п/п</t>
  </si>
  <si>
    <t>Ед.   изм.</t>
  </si>
  <si>
    <t>Кол-во</t>
  </si>
  <si>
    <t>Примечание</t>
  </si>
  <si>
    <t>м2</t>
  </si>
  <si>
    <t>м.п.</t>
  </si>
  <si>
    <t>шт.</t>
  </si>
  <si>
    <t>к-кс</t>
  </si>
  <si>
    <t>м3</t>
  </si>
  <si>
    <t>4</t>
  </si>
  <si>
    <t>КЛАДОЧНЫЕ РАБОТЫ</t>
  </si>
  <si>
    <t>4.1</t>
  </si>
  <si>
    <t>Закладка дверных и оконных проемов</t>
  </si>
  <si>
    <t>Кирпич облицовачный</t>
  </si>
  <si>
    <t>шт</t>
  </si>
  <si>
    <t>Смесь кладочная Основит Брикформ МС11 F белый 010 зимняя 25 кг</t>
  </si>
  <si>
    <t>Сетка кладочная 50х50 мм d3,5-3,8 мм 0,38х2 м</t>
  </si>
  <si>
    <t>4.2</t>
  </si>
  <si>
    <t>Уголок горячекатаный 50х50х5 мм 3 м</t>
  </si>
  <si>
    <t>7</t>
  </si>
  <si>
    <t>УСТРОЙСТВО ВРЕМЕННОГО ОСВЕЩЕНИЯ И ОТОПЛЕНИЯ</t>
  </si>
  <si>
    <t>7.1</t>
  </si>
  <si>
    <t>Работы по устройству временного освещения и отопления</t>
  </si>
  <si>
    <t>Патрон для лампы E27 SVET карболитовый IP20 (YK743)</t>
  </si>
  <si>
    <t>Кабель Кабэкс ВВГ-Пнг(A)-LS 3x1,5</t>
  </si>
  <si>
    <t>8</t>
  </si>
  <si>
    <t>МОНТАЖ ВОДООТВЕДЕНИЯ</t>
  </si>
  <si>
    <t>8.1</t>
  </si>
  <si>
    <t>Монтаж труб канализации</t>
  </si>
  <si>
    <t>точка</t>
  </si>
  <si>
    <t>Труба канализационная Ostendorf d110x2000 мм для наружной канализации</t>
  </si>
  <si>
    <t>Труба канализационная наружная d110x1000 мм</t>
  </si>
  <si>
    <t>Отвод Ostendorf d110 мм 45° пластиковый для наружной канализации</t>
  </si>
  <si>
    <t>Тройник Pro Aqua Terra d110 мм 87° пластиковый для наружной канализации</t>
  </si>
  <si>
    <t>Заглушка Pro Aqua Comfort d110 мм пластиковая для внутренней канализации</t>
  </si>
  <si>
    <t>Крестовина Pro Aqua Terra d110х110х110 мм 87,6° пластиковая одноплоскостная для наружной канализации</t>
  </si>
  <si>
    <t>Муфта Pro Aqua Comfort d110х50 мм пластиковая переходная для внутренней канализации</t>
  </si>
  <si>
    <t>Отвод Ostendorf d50 мм 45° пластиковый для внутренней канализации</t>
  </si>
  <si>
    <t>Труба канализационная Pro Aqua Comfort d50x1000 мм пластиковая для внутренней канализации</t>
  </si>
  <si>
    <t>Заглушка Ostendorf d50 мм пластиковая для внутренней канализации</t>
  </si>
  <si>
    <t>9</t>
  </si>
  <si>
    <t>ПОДВОД ГОРЯЧЕГО ВОДОСНАВЖЕНИЯ И ОТОПЛЕНИЯ</t>
  </si>
  <si>
    <t>9.1</t>
  </si>
  <si>
    <t>Работы по подводу горячего водоснабжения и отопления</t>
  </si>
  <si>
    <t>10</t>
  </si>
  <si>
    <t>ЧЕРНОВОЙ МОНТАЖ ГВС И ХВС</t>
  </si>
  <si>
    <t>10.1</t>
  </si>
  <si>
    <t>Разводка труб ХВС, ГВС в земле</t>
  </si>
  <si>
    <t>Труба ПНД ПЭ-100 для систем водоснабжения d32 SDR17</t>
  </si>
  <si>
    <t>Тройник ПНД Tebo компрессионный 32х32х32 мм</t>
  </si>
  <si>
    <t>10.2</t>
  </si>
  <si>
    <t>Монтаж греющего кабеля</t>
  </si>
  <si>
    <t>Саморегулирующийся кабель SAMREG 16-2</t>
  </si>
  <si>
    <t>Стяжка кабельная Европартнер 200х4,8 мм нейлонoвая белая (100 шт.)</t>
  </si>
  <si>
    <t>10.3</t>
  </si>
  <si>
    <t>Теплоизоляция труб</t>
  </si>
  <si>
    <t>Теплоизоляция для труб Стенофлекс ПЭ 34х9х2000 мм серая</t>
  </si>
  <si>
    <t>11</t>
  </si>
  <si>
    <t>ПОЛЫ ОСНОВАНИЕ (черновые работы)</t>
  </si>
  <si>
    <t>11.1</t>
  </si>
  <si>
    <t>Устройство песчанно-керамзитного основания с разделением слоёв</t>
  </si>
  <si>
    <t>Песок карьерный (толщина слоя 100 мм)</t>
  </si>
  <si>
    <t>Геотекстиль Typar SF20 м.п.</t>
  </si>
  <si>
    <t>11.2</t>
  </si>
  <si>
    <t>Устройство теплоизоляционного слоя</t>
  </si>
  <si>
    <t>Экструдированный пенополистирол Пеноплэкс Комфорт 50х585х1185 мм</t>
  </si>
  <si>
    <t>11.3</t>
  </si>
  <si>
    <t xml:space="preserve">Армирование с перевязкой сетки </t>
  </si>
  <si>
    <t>Сетка кладочная 2.0х0.5 м ячейка 55х55 мм d3 мм (2.5-2.7 мм)</t>
  </si>
  <si>
    <t>11.4</t>
  </si>
  <si>
    <t>Устройство цементно-песчанной стяжки 50 мм</t>
  </si>
  <si>
    <t>Цемент М500 Д20 ЦЕМ II/А-И 42,5 50 кг</t>
  </si>
  <si>
    <t>Фиброволокно КМ армирующее полипропиленовое 1 кг</t>
  </si>
  <si>
    <t>кг</t>
  </si>
  <si>
    <t>Песок намывной/морской</t>
  </si>
  <si>
    <t>Лента кромочная демпферная 6х100 мм</t>
  </si>
  <si>
    <t>мп</t>
  </si>
  <si>
    <t>Плёнка техническая (укрывочная)</t>
  </si>
  <si>
    <t>12</t>
  </si>
  <si>
    <t>ПОЛЫ ВЫРАВНИВАНИЕ</t>
  </si>
  <si>
    <t>12.1</t>
  </si>
  <si>
    <t>Подливка полов самовыравнивающимся составом</t>
  </si>
  <si>
    <t>Грунт PLITONIT 1 концентрат 3 л</t>
  </si>
  <si>
    <t xml:space="preserve">Ровнитель (наливной пол) универсальный Plitonit Юниверсал самовыравнивающийся </t>
  </si>
  <si>
    <t>Ведро пластиковое 20 л</t>
  </si>
  <si>
    <t>12.2</t>
  </si>
  <si>
    <t>Устройство обмазочной гидроизоляции с заводом на стену с предварительной огрунтовкой (2 слоя)</t>
  </si>
  <si>
    <t>Грунт Ceresit CT17</t>
  </si>
  <si>
    <t>л</t>
  </si>
  <si>
    <t>Гидроизоляция Ceresit CR 65</t>
  </si>
  <si>
    <t>12.3</t>
  </si>
  <si>
    <t>Монтаж упрочняющей ленты (стык пол-стена)</t>
  </si>
  <si>
    <t>м.п</t>
  </si>
  <si>
    <t>Лента упрочняющая KIILTO 20 см х 25 м</t>
  </si>
  <si>
    <t>12.4</t>
  </si>
  <si>
    <t xml:space="preserve">Грунтование поверхности пола </t>
  </si>
  <si>
    <t>Грунт бетоноконтакт PLITONIT</t>
  </si>
  <si>
    <t>14</t>
  </si>
  <si>
    <t>ЧЕРНОВЫЕ ЭЛЕКТРО-МОНТАЖНЫЕ РАБОТЫ</t>
  </si>
  <si>
    <t>14.1</t>
  </si>
  <si>
    <t>Прокладка силовых кабелей в гофре</t>
  </si>
  <si>
    <t>Кабель ВВГнг 3x1.5</t>
  </si>
  <si>
    <t>Кабель ВВГнг 3x2.5</t>
  </si>
  <si>
    <t>Кабель ВВГнг 3x4</t>
  </si>
  <si>
    <t>Труба гофрированная ПВХ 25 мм ДКС с зондом (50 м)</t>
  </si>
  <si>
    <t>Крепеж-клипса для труб 25 мм темно-серая (10 шт.)</t>
  </si>
  <si>
    <t>упак</t>
  </si>
  <si>
    <t>14.2</t>
  </si>
  <si>
    <t>Установка коробок (монтажные, разветвительные) с расключением кабелей</t>
  </si>
  <si>
    <t>Коробка в гипсокартон Schneider Electric с/у установочная круглая с металлическими лапками без кр d68 мм h45 мм</t>
  </si>
  <si>
    <t>Коробка в гипсокартон Schneider Electric с/у разветвительная с крышкой 100х100х50 мм</t>
  </si>
  <si>
    <t>14.3</t>
  </si>
  <si>
    <t>Монтаж электрощита</t>
  </si>
  <si>
    <t>Щит распределительный встраиваемый EKF PROxima ЩРВ-12 металлический IP31 260х340х120 мм 12 модулей</t>
  </si>
  <si>
    <t>14.4</t>
  </si>
  <si>
    <t>Монтаж автоматического выключателя 2-х полюсного</t>
  </si>
  <si>
    <t>Автоматический выключатель Dekraft BA-103 (12295DEK) 2P 63А тип C 6 кА 230-400 В на DIN-рейку</t>
  </si>
  <si>
    <t>14.5</t>
  </si>
  <si>
    <t>Монтаж УЗО</t>
  </si>
  <si>
    <t>УЗО ABB F202 (2CSF202001R3630) 63А 300 мА 2P тип АС 10 кА</t>
  </si>
  <si>
    <t>14.6</t>
  </si>
  <si>
    <t>Монтаж автоматического выключателя однополюсного</t>
  </si>
  <si>
    <t>Автоматический выключатель ABB S201 (2CDS251001R0164) 1P 16А тип C 6 кА 230/400 В на DIN-рейку</t>
  </si>
  <si>
    <t>Автоматический выключатель ABB S201 (2CDS251001R0104) 1P 10А тип C 6 кА 220 В на DIN-рейку</t>
  </si>
  <si>
    <t>14.7</t>
  </si>
  <si>
    <t>Монтад пожрозетников</t>
  </si>
  <si>
    <t>Подрозетник Schneider Electric для гипсокартона d68х46 мм 8 вводов желтый IP20 с металлическими лапками</t>
  </si>
  <si>
    <t>СЛАБОТОЧНЫЕ РАБОТЫ</t>
  </si>
  <si>
    <t>Извещатель дымовой адресный ДИП -34А</t>
  </si>
  <si>
    <t>Извещатель ручной  адресный ИПР 513 -3 АМ</t>
  </si>
  <si>
    <t>Сирена ПКИ 2 (Иволга)</t>
  </si>
  <si>
    <t>Табло "ВЫХОД" Молния 12</t>
  </si>
  <si>
    <t>Коробка коммутационная КМ-0 (8К) -IP</t>
  </si>
  <si>
    <t>Кабель КПСнг (А) -FRLS 1*2*0,5</t>
  </si>
  <si>
    <t>Кабель КПСнг (А) -FRLS 1*2*0,75</t>
  </si>
  <si>
    <t>Гофра серая</t>
  </si>
  <si>
    <t>Кабель канал</t>
  </si>
  <si>
    <t>15</t>
  </si>
  <si>
    <t>ПРОКЛАДКА ВЕНТИЛЯЦИИ</t>
  </si>
  <si>
    <t>15.1</t>
  </si>
  <si>
    <t>Монтаж прямоугольных воздуховодов</t>
  </si>
  <si>
    <t>Воздуховод плоский пластиковый 55х110 мм 1 м</t>
  </si>
  <si>
    <t>Соединитель угловой пластиковый для плоских воздуховодов 55х110 мм с круглыми d100 мм</t>
  </si>
  <si>
    <t>Соединитель прямой пластиковый для плоских воздуховодов 55х110 мм</t>
  </si>
  <si>
    <t>Колено горизонтальное пластиковое для плоских воздуховодов 55х110 мм 90°</t>
  </si>
  <si>
    <t>Держатель пластиковый для плоских воздуховодов ORE 55х110 мм</t>
  </si>
  <si>
    <t>16</t>
  </si>
  <si>
    <t>ОБШИВКА СТЕН ГКЛ</t>
  </si>
  <si>
    <t>16.1</t>
  </si>
  <si>
    <t>Однослойная облицовка из ГКЛ на металлическом каркасе, закрепленном на базовой стене с утеплителем</t>
  </si>
  <si>
    <t xml:space="preserve">Гипсокартон Knauf 3000х1200х12.5 мм </t>
  </si>
  <si>
    <t>лист</t>
  </si>
  <si>
    <t>Профиль потолочный Стандарт 60х27 мм 3 м 0.50 мм</t>
  </si>
  <si>
    <t>Профиль потолочный направляющий Стандарт 27х28 мм 3 м 0.50 мм</t>
  </si>
  <si>
    <t>Подвес прямой 60/27</t>
  </si>
  <si>
    <t>Лента уплотнительная Knauf Дихтунгсбанд 3х50 мм 30 м</t>
  </si>
  <si>
    <t>Дюбель распорный Hard-Fix/Wenzo 6x30 мм</t>
  </si>
  <si>
    <t>Саморезы ГД 35х3,5мм усиленные Hard-Fix/Wenzo</t>
  </si>
  <si>
    <t xml:space="preserve">Саморезы ГМ 25х3,8 (3,5) мм </t>
  </si>
  <si>
    <t>Саморезы "клопы" 13х4,2 мм усиленные Hard-Fix/Wenzo</t>
  </si>
  <si>
    <t>Шумоизоляция Rockwool Акустик Баттс 50х600х1000 мм 6 кв.м</t>
  </si>
  <si>
    <t>17</t>
  </si>
  <si>
    <t>МОНТАЖ ПЕРЕГОРОДОК ГКЛ</t>
  </si>
  <si>
    <t>17.1</t>
  </si>
  <si>
    <t>Перегородка с однослойными обшивками из ГКЛ на одинарном металлическом каркасе с шумоизоляцией</t>
  </si>
  <si>
    <t>Профиль направляющий КМ Эксперт 100х40 мм 3 м 0,60 мм</t>
  </si>
  <si>
    <t>Профиль стоечный КМ Эксперт 100х50 мм 3 м 0,60 мм</t>
  </si>
  <si>
    <t>Гипсокартон Knauf 3000х1200х12.5 мм влагостойкий</t>
  </si>
  <si>
    <t>17.2</t>
  </si>
  <si>
    <t>Монтаж закладных элементов из листовых материалов</t>
  </si>
  <si>
    <t>Фанера ФСФ 15х1220х2440 мм сорт 4/4 нешлифованная береза</t>
  </si>
  <si>
    <t>Антисептик Neomid 200 для бань и саун концентрат 1:30 бесцветный 0,5 л</t>
  </si>
  <si>
    <t>18</t>
  </si>
  <si>
    <t>МОНТАЖ ПОТОЛКА ГКЛ</t>
  </si>
  <si>
    <t>18.1</t>
  </si>
  <si>
    <t>Монтаж одноуровневого потолка ГКЛ</t>
  </si>
  <si>
    <t>Гипсокартон Knauf 2500х1200х9,5 мм для потолка</t>
  </si>
  <si>
    <t>Профиль потолочный направляющий Knauf 27х28 мм 3 м 0,60 мм</t>
  </si>
  <si>
    <t>Профиль потолочный Knauf 60х27 мм 3 м 0,60 мм</t>
  </si>
  <si>
    <t>Соединитель одноуровневый краб КМ Стандарт 60х27 0,9 мм</t>
  </si>
  <si>
    <t>Подвес прямой КМ Стандарт 60х27 0,9 мм</t>
  </si>
  <si>
    <t>Саморезы ГМ 35x3.5 мм (10000 шт.)</t>
  </si>
  <si>
    <t>Саморезы клопы 19x4,2 мм усиленные Hard-Fix (700 шт.)</t>
  </si>
  <si>
    <t>Саморезы ГД 75x4.2 мм (500 шт.)</t>
  </si>
  <si>
    <t>Утеплитель Rockwool Лайт Баттс 50х600х1000 мм 6 кв.м</t>
  </si>
  <si>
    <t>19</t>
  </si>
  <si>
    <t>ПОТОЛОК (Черновые работы)</t>
  </si>
  <si>
    <t>19.1</t>
  </si>
  <si>
    <t>Заделка стыков и саморезов на ГКЛ</t>
  </si>
  <si>
    <t>Лента стеклотканевая КМ Профи самоклеящаяся 50 мм 90 м</t>
  </si>
  <si>
    <t>Штукатурка гипсовая Knauf Ротбанд 30 кг</t>
  </si>
  <si>
    <t>19.2</t>
  </si>
  <si>
    <t>Шпатлёвка потолка в 2 слоя с ошкуриванием (под окраску)</t>
  </si>
  <si>
    <t>Шпаклевка полимерная Weber.vetonit LR + для сухих помещений белая 25 кг</t>
  </si>
  <si>
    <t>22</t>
  </si>
  <si>
    <t>СТЕНЫ (Черновые работы)</t>
  </si>
  <si>
    <t>22.1</t>
  </si>
  <si>
    <t>Подготовка стен из ГКЛ к шпатлёвке (грунтование, проклейка стыков с укрытием, укрытие саморезов, шлифовка)</t>
  </si>
  <si>
    <t>Грунт Ceresit СТ17 PRO 10 л</t>
  </si>
  <si>
    <t>22.2</t>
  </si>
  <si>
    <t>Шпатлевание стен ГКЛ (подготовка к оклейке обоями)</t>
  </si>
  <si>
    <t>Шпатель малярный 100 мм с эргономичной ручкой</t>
  </si>
  <si>
    <t>Шпатель фасадный Wenzo 350 мм с оксидированным полотном</t>
  </si>
  <si>
    <t>22.3</t>
  </si>
  <si>
    <t>Шлифовка стен (под обои)</t>
  </si>
  <si>
    <t>Наждачная бумага Mirox Mirka P150 желтая 115 мм</t>
  </si>
  <si>
    <t>23</t>
  </si>
  <si>
    <t>МОНТАЖ СИСТЕМЫ ОТОПЛЕНИЯ</t>
  </si>
  <si>
    <t>23.1</t>
  </si>
  <si>
    <t>Монтаж полипропиленовых труб системы отопления D25-32</t>
  </si>
  <si>
    <t>Труба полипропиленовая Valfex армированная стекловолокном 25х2000 мм PN25</t>
  </si>
  <si>
    <t>Угол полипропиленовый VALTEC (VTp.751.0.025) 25 мм 90°</t>
  </si>
  <si>
    <t>Фиксатор 25 мм для полипропиленовых труб</t>
  </si>
  <si>
    <t>23.2</t>
  </si>
  <si>
    <t>Монтаж и подключение радиатора отопления</t>
  </si>
  <si>
    <t>Радиатор стальной панельный тип 22 КМ Compact 500х1200 мм 1/2" боковое подключение</t>
  </si>
  <si>
    <t>Радиатор стальной панельный тип 22 КМ Compact 500х400 мм 1/2" боковое подключение</t>
  </si>
  <si>
    <t>Набор присоединительный Rommer 1" х 3/4" для радиатора с тремя кронштейнами белый</t>
  </si>
  <si>
    <t>24</t>
  </si>
  <si>
    <t>УКЛАДКА ПЛИТКИ НА СТЕНЫ</t>
  </si>
  <si>
    <t>24.1</t>
  </si>
  <si>
    <t>Облицовка стен керамогранитной плиткой (с предварительной огрунтовкой) и затиркой швов</t>
  </si>
  <si>
    <t>Плитка облицовочная 300x200x7 мм</t>
  </si>
  <si>
    <t>Клей для плитки PLITONIT В усиленный 25кг</t>
  </si>
  <si>
    <t>Уголок для кафельной плитки 9 мм 2.5м , наружный</t>
  </si>
  <si>
    <t>Уголок для кафельной плитки 9 мм 2.5м , внутренний</t>
  </si>
  <si>
    <t>Система выравнивания плитки Эконом клин (50 шт)</t>
  </si>
  <si>
    <t>Система выравнивания плитки Эконом зажим 1,7 мм (100 шт)</t>
  </si>
  <si>
    <t>Зубчатый шпатель 250х6 мм</t>
  </si>
  <si>
    <t xml:space="preserve">Шпатель малярный 100 мм </t>
  </si>
  <si>
    <t xml:space="preserve">Затирка Ceresit СЕ 33 41 натура </t>
  </si>
  <si>
    <t>25</t>
  </si>
  <si>
    <t>УКЛАДКА ПЛИТКИ НА ПОЛ</t>
  </si>
  <si>
    <t>25.1</t>
  </si>
  <si>
    <t>Облицовка полов керамогранитной плиткой с затиркой швов и с учётом разуклонных уровней</t>
  </si>
  <si>
    <t>плитка керамогранитная</t>
  </si>
  <si>
    <t>Затирка для швов</t>
  </si>
  <si>
    <t>25.2</t>
  </si>
  <si>
    <t>Устройство плинтуса из керамогранита</t>
  </si>
  <si>
    <t>26</t>
  </si>
  <si>
    <t>МОНТАЖ РЕЕЧНОГО ПОТОЛКА</t>
  </si>
  <si>
    <t>26.1</t>
  </si>
  <si>
    <t>Монтаж реечного потолка</t>
  </si>
  <si>
    <t>Комплект рейки потолочной с раскладкой Албес 2х2,075 м A150AS+A25AS белый матовый</t>
  </si>
  <si>
    <t>27</t>
  </si>
  <si>
    <t>ПОТОЛОК (Чистовые работы)</t>
  </si>
  <si>
    <t>27.1</t>
  </si>
  <si>
    <t>Окраска потолка в два слоя</t>
  </si>
  <si>
    <t>Краска моющаяся Marshall Export 7 база BW белая 9 л</t>
  </si>
  <si>
    <t>Валик полиакрил Wenzo Parma 250 мм с рукояткой</t>
  </si>
  <si>
    <t>Ванночка для краски 330х350 мм для валиков до 250 мм</t>
  </si>
  <si>
    <t>27.2</t>
  </si>
  <si>
    <t>Монтаж плинтуса потолочного</t>
  </si>
  <si>
    <t>Плинтус потолочный из пенополистирола 45х45х2000 мм Плинтэкс K45/45</t>
  </si>
  <si>
    <t>Клей аэрозольный для потолочных плит и плинтусов Tris GFix Force 500 мл</t>
  </si>
  <si>
    <t>28</t>
  </si>
  <si>
    <t>СТЕНЫ (Чистовые работы)</t>
  </si>
  <si>
    <t>28.1</t>
  </si>
  <si>
    <t>Оклейка стен обоями (под окраску)</t>
  </si>
  <si>
    <t>Обои под покраску виниловые на флизелиновой основе фактурные антивандальные Victoria Stenova Almaz 686043 (1,06х25 м) плотность 150 г/кв.м</t>
  </si>
  <si>
    <t>рул</t>
  </si>
  <si>
    <t>Клей для флизелиновых обоев Quelyd Спец-флизелин 450 гр</t>
  </si>
  <si>
    <t>28.2</t>
  </si>
  <si>
    <t>Окраска стен и перегородок в два слоя</t>
  </si>
  <si>
    <t>28.3</t>
  </si>
  <si>
    <t>Оклейка стен обоями без подбора рисунка (виниловые, флизелиновые)</t>
  </si>
  <si>
    <t>Обои виниловые на флизелиновой основе Elysium Шпалеры Е54248 (1,06х10,05 м)</t>
  </si>
  <si>
    <t>29</t>
  </si>
  <si>
    <t>УКЛАДКА ЛАМИНАТА</t>
  </si>
  <si>
    <t>29.1</t>
  </si>
  <si>
    <t>Настил ламината</t>
  </si>
  <si>
    <t>Ламинат 33 класс Kronospan Floordreams дуб шейр 1,48 кв.м 12 мм с фаской</t>
  </si>
  <si>
    <t>Подложка под ламинат вспененная Стенофон 2 мм 1,05х50 м 52,5 кв.м</t>
  </si>
  <si>
    <t>Порог стыкоперекрывающий разноуровневый 40х1800 мм перепад до 8 мм серебро</t>
  </si>
  <si>
    <t>30</t>
  </si>
  <si>
    <t>МОНТАЖ МЕЖКОМНАТНЫХ ДВЕРЕЙ</t>
  </si>
  <si>
    <t>30.1</t>
  </si>
  <si>
    <t>Установка двери (с врезкой фурнитуры)</t>
  </si>
  <si>
    <t>Дверь межкомнатная Artens Магнолия глухая ПВХ ламинация цвет акация тёмная 90x200 см (с замком и петлями)</t>
  </si>
  <si>
    <t>Пена монтажная Tytan O2 профессиональная 750 мл</t>
  </si>
  <si>
    <t>Сухой брусок строганый хв/п 50х50х3000 мм сорт АВ</t>
  </si>
  <si>
    <t>Дюбель рамный металлический MRD 10x92 мм (8 шт.)</t>
  </si>
  <si>
    <t>31</t>
  </si>
  <si>
    <t>МОНТАЖ ПЛАСТИКОВОГО ПЛИНТУСА</t>
  </si>
  <si>
    <t>31.1</t>
  </si>
  <si>
    <t>Монтаж плинтуса пластик</t>
  </si>
  <si>
    <t>Плинтус ПВХ напольный Winart 47 мм дуб палёный 2500 мм S-профиль с кабель-каналом</t>
  </si>
  <si>
    <t>Угол внутренний Winart 47 мм дуб палёный S-профиль (2 шт.)</t>
  </si>
  <si>
    <t>Заглушка торцевая Winart 47 мм дуб палёный левая-правая (2 шт.)</t>
  </si>
  <si>
    <t>Соединитель Winart 47 мм дуб палёный S-профиль (2 шт.)</t>
  </si>
  <si>
    <t>Саморезы ГД 41x3.5 мм (200 шт.)</t>
  </si>
  <si>
    <t>32</t>
  </si>
  <si>
    <t>ЧИСТОВЫЕ ЭЛЕКТРО-МОНТАЖНЫЕ РАБОТЫ</t>
  </si>
  <si>
    <t>32.1</t>
  </si>
  <si>
    <t>Установка розеток и выключателей</t>
  </si>
  <si>
    <t>Выключатель с рамкой Schneider Electric Blanca BLNVS010511 двухклавишный скрытая установка белый с подсветкой</t>
  </si>
  <si>
    <t>Выключатель с рамкой Schneider Electric Blanca BLNVS010101 одноклавишный скрытая установка белый</t>
  </si>
  <si>
    <t>Розетка с рамкой Schneider Electric Blanca BLNRS001021 двойная скрытая установка белая с заземлением</t>
  </si>
  <si>
    <t>Розетка с рамкой Schneider Electric Blanca BLNRS441121 двойная скрытая установка белая с заземлением IP44 со шторками с крышками влагозащищенная</t>
  </si>
  <si>
    <t>32.2</t>
  </si>
  <si>
    <t>Установка светильников встраиваемых/накладных</t>
  </si>
  <si>
    <t>Светильник светодиодный встраиваемый 14 Вт 1190 Лм 4000К 168 мм IP20 REV ДВО (28945 6) белый</t>
  </si>
  <si>
    <t>Клемма на 3 провода Wago 222-413 0,08-2,5 кв. мм с рычажками без пасты (50 шт.)</t>
  </si>
  <si>
    <t>33</t>
  </si>
  <si>
    <t>САНТЕХНИЧЕСКИЕ РАБОТЫ</t>
  </si>
  <si>
    <t>33.1</t>
  </si>
  <si>
    <t>Прокладка полипропиленовых труб водоснабжения D20-25мм</t>
  </si>
  <si>
    <t>Водорозетка полипропиленовая VALTEC (VTp.724.0.02504) двойная 25 мм х 1/2 ВР(г) на планке</t>
  </si>
  <si>
    <t>Тройник полипропиленовый VALTEC (VTp.731.0.025) 25 х 25 х 25 мм</t>
  </si>
  <si>
    <t>Муфта полипропиленовая 32 х 25 мм</t>
  </si>
  <si>
    <t>33.2</t>
  </si>
  <si>
    <t>Монтаж простого смесителя на гибкой подводке</t>
  </si>
  <si>
    <t>Смеситель для раковины MILARDO Simp SIMSBR0M01 однорычажный с длинным поворотным изливом</t>
  </si>
  <si>
    <t>Подводка гибкая для воды КМ 1/2 ВР(г) х 1/2 ВР(г) 50 см</t>
  </si>
  <si>
    <t>33.3</t>
  </si>
  <si>
    <t>Установка раковины</t>
  </si>
  <si>
    <t>Раковина для тумбы Santek Балтика 600 мм</t>
  </si>
  <si>
    <t>33.4</t>
  </si>
  <si>
    <t>Установка напольнго унитаза</t>
  </si>
  <si>
    <t>Слив для унитаза Ани пласт (K821) d110 мм пластиковый гофрированный для внутренней канализации</t>
  </si>
  <si>
    <t>Унитаз-компакт GESSO Home de luxe W102 с косым выпуском c сиденьем пластик</t>
  </si>
  <si>
    <t>33.5</t>
  </si>
  <si>
    <t>Установка душевой кабинки</t>
  </si>
  <si>
    <t>Душевое ограждение МЕТАКАМ Classik 89х89х177 см полукруг прозрачное стекло 4 мм профиль белый</t>
  </si>
  <si>
    <t>Поддон акриловый АБС/ПММА МЕТАКАМ Classik полукруг 90х90х30 см средний со съемным экраном</t>
  </si>
  <si>
    <t>33.6</t>
  </si>
  <si>
    <t>Установка смесителя</t>
  </si>
  <si>
    <t>Смеситель для ванны и душа LAVELLY White Modern с коротким изливом однорычажный с лейкой белый/хром</t>
  </si>
  <si>
    <t>Стоимость материалов (план)</t>
  </si>
  <si>
    <t>Стоимость материалов (факт)</t>
  </si>
  <si>
    <t>Стоимость работ (факт)</t>
  </si>
  <si>
    <t>Демонтажные работы</t>
  </si>
  <si>
    <t>Учтено выше.  Это для порядка работ</t>
  </si>
  <si>
    <t>учтены выше</t>
  </si>
  <si>
    <t>План:</t>
  </si>
  <si>
    <t>Факт:</t>
  </si>
  <si>
    <t>Разница:</t>
  </si>
  <si>
    <t>8.2</t>
  </si>
  <si>
    <t>Пробивка отверстий в бетоне (более 200мм)</t>
  </si>
  <si>
    <t>4.3</t>
  </si>
  <si>
    <t>Устройство тепляка</t>
  </si>
  <si>
    <t>Пленка техническая полиэтиленовая Изостронг 200 мкм 3 м рукав 1,5 м, пог.м</t>
  </si>
  <si>
    <t>Брусок 50х50х3000 мм естественной влажности сорт 1-2 хвойные породы деловой</t>
  </si>
  <si>
    <t>Монтаж металлического уголка (над окнами и дверями)+сварочные работы</t>
  </si>
  <si>
    <t>Полоса горячекатаная 40х4 мм 3 м</t>
  </si>
  <si>
    <t>СПИСОК МАТЕРИАЛОВ</t>
  </si>
  <si>
    <t>Кол-во в наличии</t>
  </si>
  <si>
    <t>Наименование работ и материалов</t>
  </si>
  <si>
    <t>?????????</t>
  </si>
  <si>
    <t>надо смотреть</t>
  </si>
  <si>
    <t>??????????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</si>
</sst>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р.-419]#,##0.00"/>
    <numFmt numFmtId="165" formatCode="#,##0.00\ &quot;₽&quot;"/>
  </numFmts>
  <fonts count="18" x14ac:knownFonts="1">
    <font>
      <sz val="11"/>
      <color rgb="FF000000"/>
      <name val="Calibri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9"/>
      <color rgb="FF00000A"/>
      <name val="Times New Roman"/>
    </font>
    <font>
      <sz val="10"/>
      <color theme="1"/>
      <name val="Times New Roman"/>
    </font>
    <font>
      <b/>
      <sz val="13"/>
      <color theme="1"/>
      <name val="Times New Roman"/>
    </font>
    <font>
      <b/>
      <sz val="12"/>
      <color theme="1"/>
      <name val="Times New Roman"/>
    </font>
    <font>
      <b/>
      <i/>
      <sz val="12"/>
      <color theme="1"/>
      <name val="Times New Roman"/>
    </font>
    <font>
      <sz val="12"/>
      <color theme="1"/>
      <name val="Times New Roman"/>
    </font>
    <font>
      <i/>
      <sz val="11"/>
      <color theme="1"/>
      <name val="Times New Roman"/>
    </font>
    <font>
      <i/>
      <sz val="12"/>
      <color theme="1"/>
      <name val="Times New Roman"/>
    </font>
    <font>
      <i/>
      <sz val="12"/>
      <color rgb="FF00000A"/>
      <name val="Times New Roman"/>
    </font>
    <font>
      <b/>
      <sz val="11"/>
      <color theme="1"/>
      <name val="Calibri"/>
    </font>
    <font>
      <u/>
      <sz val="11"/>
      <color rgb="FF00000A"/>
      <name val="Times New Roman"/>
    </font>
    <font>
      <sz val="11"/>
      <color rgb="FF00000A"/>
      <name val="Times New Roman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165" fontId="2" fillId="0" borderId="2" xfId="0" applyNumberFormat="1" applyFont="1" applyBorder="1"/>
    <xf numFmtId="0" fontId="2" fillId="0" borderId="2" xfId="0" applyFont="1" applyBorder="1"/>
    <xf numFmtId="0" fontId="2" fillId="3" borderId="2" xfId="0" applyFont="1" applyFill="1" applyBorder="1"/>
    <xf numFmtId="164" fontId="2" fillId="0" borderId="0" xfId="0" applyNumberFormat="1" applyFo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/>
    </xf>
    <xf numFmtId="165" fontId="2" fillId="0" borderId="13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165" fontId="2" fillId="3" borderId="13" xfId="0" applyNumberFormat="1" applyFont="1" applyFill="1" applyBorder="1" applyAlignment="1">
      <alignment horizontal="right"/>
    </xf>
    <xf numFmtId="165" fontId="2" fillId="3" borderId="14" xfId="0" applyNumberFormat="1" applyFont="1" applyFill="1" applyBorder="1" applyAlignment="1">
      <alignment horizontal="right"/>
    </xf>
    <xf numFmtId="165" fontId="2" fillId="3" borderId="15" xfId="0" applyNumberFormat="1" applyFont="1" applyFill="1" applyBorder="1" applyAlignment="1">
      <alignment horizontal="right"/>
    </xf>
    <xf numFmtId="165" fontId="2" fillId="0" borderId="0" xfId="0" applyNumberFormat="1" applyFont="1"/>
    <xf numFmtId="4" fontId="2" fillId="4" borderId="3" xfId="0" applyNumberFormat="1" applyFont="1" applyFill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 vertical="center" wrapText="1"/>
    </xf>
    <xf numFmtId="165" fontId="2" fillId="5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3" fillId="0" borderId="0" xfId="0" applyFont="1" applyFill="1" applyAlignment="1">
      <alignment horizontal="left"/>
    </xf>
    <xf numFmtId="0" fontId="0" fillId="0" borderId="0" xfId="0" applyFont="1" applyFill="1" applyAlignment="1"/>
    <xf numFmtId="0" fontId="2" fillId="0" borderId="0" xfId="0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right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11" fillId="0" borderId="2" xfId="0" applyFont="1" applyFill="1" applyBorder="1" applyAlignment="1">
      <alignment horizontal="right" wrapText="1"/>
    </xf>
    <xf numFmtId="49" fontId="15" fillId="0" borderId="3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right" wrapText="1"/>
    </xf>
    <xf numFmtId="0" fontId="8" fillId="0" borderId="16" xfId="0" applyFont="1" applyFill="1" applyBorder="1" applyAlignment="1">
      <alignment horizontal="center" vertical="center" wrapText="1"/>
    </xf>
    <xf numFmtId="4" fontId="2" fillId="0" borderId="1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right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165" fontId="2" fillId="0" borderId="3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6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right" vertical="top" wrapText="1"/>
    </xf>
    <xf numFmtId="0" fontId="11" fillId="0" borderId="0" xfId="0" applyFont="1" applyFill="1" applyAlignment="1">
      <alignment horizontal="right" wrapText="1"/>
    </xf>
    <xf numFmtId="0" fontId="6" fillId="0" borderId="3" xfId="0" applyFont="1" applyFill="1" applyBorder="1" applyAlignment="1">
      <alignment horizontal="right" vertical="center" wrapText="1"/>
    </xf>
    <xf numFmtId="165" fontId="2" fillId="0" borderId="2" xfId="0" applyNumberFormat="1" applyFont="1" applyFill="1" applyBorder="1"/>
    <xf numFmtId="49" fontId="2" fillId="6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4" fontId="2" fillId="6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 vertical="center" wrapText="1"/>
    </xf>
    <xf numFmtId="49" fontId="1" fillId="6" borderId="4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4" fontId="1" fillId="6" borderId="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4" fontId="1" fillId="6" borderId="12" xfId="0" applyNumberFormat="1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top" wrapText="1"/>
    </xf>
    <xf numFmtId="0" fontId="6" fillId="6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left" vertical="center" wrapText="1"/>
    </xf>
    <xf numFmtId="165" fontId="1" fillId="6" borderId="4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wrapText="1"/>
    </xf>
    <xf numFmtId="0" fontId="7" fillId="6" borderId="11" xfId="0" applyFont="1" applyFill="1" applyBorder="1" applyAlignment="1">
      <alignment horizontal="center" wrapText="1"/>
    </xf>
    <xf numFmtId="0" fontId="12" fillId="6" borderId="11" xfId="0" applyFont="1" applyFill="1" applyBorder="1"/>
    <xf numFmtId="4" fontId="12" fillId="6" borderId="11" xfId="0" applyNumberFormat="1" applyFont="1" applyFill="1" applyBorder="1"/>
    <xf numFmtId="165" fontId="12" fillId="6" borderId="11" xfId="0" applyNumberFormat="1" applyFont="1" applyFill="1" applyBorder="1"/>
    <xf numFmtId="49" fontId="1" fillId="6" borderId="4" xfId="0" applyNumberFormat="1" applyFont="1" applyFill="1" applyBorder="1" applyAlignment="1">
      <alignment horizontal="center" wrapText="1"/>
    </xf>
    <xf numFmtId="0" fontId="7" fillId="6" borderId="12" xfId="0" applyFont="1" applyFill="1" applyBorder="1" applyAlignment="1">
      <alignment horizontal="center" wrapText="1"/>
    </xf>
    <xf numFmtId="0" fontId="12" fillId="6" borderId="12" xfId="0" applyFont="1" applyFill="1" applyBorder="1"/>
    <xf numFmtId="4" fontId="12" fillId="6" borderId="12" xfId="0" applyNumberFormat="1" applyFont="1" applyFill="1" applyBorder="1"/>
    <xf numFmtId="165" fontId="12" fillId="6" borderId="12" xfId="0" applyNumberFormat="1" applyFont="1" applyFill="1" applyBorder="1"/>
    <xf numFmtId="0" fontId="1" fillId="6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7"/>
  <sheetViews>
    <sheetView tabSelected="1" zoomScaleNormal="100" workbookViewId="0">
      <pane ySplit="5" topLeftCell="A6" activePane="bottomLeft" state="frozen"/>
      <selection pane="bottomLeft" activeCell="E89" sqref="E89:E90"/>
    </sheetView>
  </sheetViews>
  <sheetFormatPr defaultColWidth="14.42578125" defaultRowHeight="15" customHeight="1" x14ac:dyDescent="0.25"/>
  <cols>
    <col min="1" max="1" width="7.85546875" style="22" customWidth="1"/>
    <col min="2" max="2" width="71.28515625" style="22" customWidth="1"/>
    <col min="3" max="3" width="7.140625" style="22" customWidth="1"/>
    <col min="4" max="4" width="11.28515625" style="22" customWidth="1"/>
    <col min="5" max="5" width="12.42578125" style="22" customWidth="1"/>
    <col min="6" max="6" width="21.5703125" style="22" customWidth="1"/>
    <col min="7" max="26" width="9.140625" style="22" customWidth="1"/>
    <col min="27" max="16384" width="14.42578125" style="22"/>
  </cols>
  <sheetData>
    <row r="1" spans="1:6" ht="17.25" customHeight="1" x14ac:dyDescent="0.25">
      <c r="B1" s="23" t="s">
        <v>38</v>
      </c>
      <c r="C1" s="24"/>
      <c r="D1" s="24"/>
      <c r="E1" s="24"/>
      <c r="F1" s="24"/>
    </row>
    <row r="2" spans="1:6" ht="18.75" customHeight="1" x14ac:dyDescent="0.25">
      <c r="A2" s="26"/>
      <c r="B2" s="27" t="s">
        <v>386</v>
      </c>
      <c r="C2" s="24"/>
      <c r="D2" s="24"/>
      <c r="E2" s="24"/>
      <c r="F2" s="24"/>
    </row>
    <row r="3" spans="1:6" ht="18.75" customHeight="1" x14ac:dyDescent="0.25">
      <c r="A3" s="28" t="s">
        <v>39</v>
      </c>
      <c r="B3" s="24"/>
      <c r="C3" s="24"/>
      <c r="D3" s="24"/>
      <c r="E3" s="24"/>
      <c r="F3" s="24"/>
    </row>
    <row r="4" spans="1:6" ht="18.75" customHeight="1" x14ac:dyDescent="0.25">
      <c r="A4" s="29" t="s">
        <v>40</v>
      </c>
      <c r="B4" s="24"/>
      <c r="C4" s="24"/>
      <c r="D4" s="24"/>
      <c r="E4" s="24"/>
      <c r="F4" s="24"/>
    </row>
    <row r="5" spans="1:6" ht="40.5" customHeight="1" x14ac:dyDescent="0.25">
      <c r="A5" s="30" t="s">
        <v>41</v>
      </c>
      <c r="B5" s="30" t="s">
        <v>388</v>
      </c>
      <c r="C5" s="30" t="s">
        <v>42</v>
      </c>
      <c r="D5" s="30" t="s">
        <v>43</v>
      </c>
      <c r="E5" s="30" t="s">
        <v>387</v>
      </c>
      <c r="F5" s="30" t="s">
        <v>44</v>
      </c>
    </row>
    <row r="6" spans="1:6" ht="17.25" customHeight="1" x14ac:dyDescent="0.25">
      <c r="A6" s="69" t="s">
        <v>50</v>
      </c>
      <c r="B6" s="70" t="s">
        <v>51</v>
      </c>
      <c r="C6" s="71"/>
      <c r="D6" s="72"/>
      <c r="E6" s="72"/>
      <c r="F6" s="73"/>
    </row>
    <row r="7" spans="1:6" ht="17.25" customHeight="1" x14ac:dyDescent="0.25">
      <c r="A7" s="34" t="s">
        <v>52</v>
      </c>
      <c r="B7" s="35" t="s">
        <v>53</v>
      </c>
      <c r="C7" s="36" t="s">
        <v>49</v>
      </c>
      <c r="D7" s="37">
        <v>6</v>
      </c>
      <c r="E7" s="37"/>
      <c r="F7" s="38"/>
    </row>
    <row r="8" spans="1:6" ht="15.75" customHeight="1" x14ac:dyDescent="0.25">
      <c r="A8" s="39"/>
      <c r="B8" s="40" t="s">
        <v>54</v>
      </c>
      <c r="C8" s="36" t="s">
        <v>55</v>
      </c>
      <c r="D8" s="37">
        <v>4000</v>
      </c>
      <c r="E8" s="19"/>
      <c r="F8" s="38"/>
    </row>
    <row r="9" spans="1:6" ht="15.75" customHeight="1" x14ac:dyDescent="0.25">
      <c r="A9" s="39"/>
      <c r="B9" s="40" t="s">
        <v>56</v>
      </c>
      <c r="C9" s="36" t="s">
        <v>55</v>
      </c>
      <c r="D9" s="37">
        <v>109</v>
      </c>
      <c r="E9" s="37"/>
      <c r="F9" s="38"/>
    </row>
    <row r="10" spans="1:6" ht="15.75" customHeight="1" x14ac:dyDescent="0.25">
      <c r="A10" s="39"/>
      <c r="B10" s="40" t="s">
        <v>57</v>
      </c>
      <c r="C10" s="36" t="s">
        <v>55</v>
      </c>
      <c r="D10" s="37">
        <v>120</v>
      </c>
      <c r="E10" s="37"/>
      <c r="F10" s="38"/>
    </row>
    <row r="11" spans="1:6" ht="33" customHeight="1" x14ac:dyDescent="0.25">
      <c r="A11" s="34" t="s">
        <v>58</v>
      </c>
      <c r="B11" s="35" t="s">
        <v>384</v>
      </c>
      <c r="C11" s="36" t="s">
        <v>55</v>
      </c>
      <c r="D11" s="37">
        <v>32</v>
      </c>
      <c r="E11" s="37"/>
      <c r="F11" s="38"/>
    </row>
    <row r="12" spans="1:6" ht="15.75" customHeight="1" x14ac:dyDescent="0.25">
      <c r="A12" s="39"/>
      <c r="B12" s="40" t="s">
        <v>59</v>
      </c>
      <c r="C12" s="36" t="s">
        <v>55</v>
      </c>
      <c r="D12" s="37">
        <v>8</v>
      </c>
      <c r="E12" s="19"/>
      <c r="F12" s="38"/>
    </row>
    <row r="13" spans="1:6" ht="15.75" customHeight="1" x14ac:dyDescent="0.25">
      <c r="A13" s="39"/>
      <c r="B13" s="40" t="s">
        <v>385</v>
      </c>
      <c r="C13" s="36" t="s">
        <v>55</v>
      </c>
      <c r="D13" s="37">
        <v>8</v>
      </c>
      <c r="E13" s="19"/>
      <c r="F13" s="38"/>
    </row>
    <row r="14" spans="1:6" ht="17.25" customHeight="1" x14ac:dyDescent="0.25">
      <c r="A14" s="34" t="s">
        <v>380</v>
      </c>
      <c r="B14" s="35" t="s">
        <v>381</v>
      </c>
      <c r="C14" s="36" t="s">
        <v>45</v>
      </c>
      <c r="D14" s="37">
        <v>240</v>
      </c>
      <c r="E14" s="37"/>
      <c r="F14" s="38"/>
    </row>
    <row r="15" spans="1:6" ht="33.75" customHeight="1" x14ac:dyDescent="0.25">
      <c r="A15" s="39"/>
      <c r="B15" s="40" t="s">
        <v>382</v>
      </c>
      <c r="C15" s="36" t="s">
        <v>46</v>
      </c>
      <c r="D15" s="37">
        <v>60</v>
      </c>
      <c r="E15" s="37"/>
      <c r="F15" s="38"/>
    </row>
    <row r="16" spans="1:6" ht="32.25" customHeight="1" x14ac:dyDescent="0.25">
      <c r="A16" s="41"/>
      <c r="B16" s="42" t="s">
        <v>383</v>
      </c>
      <c r="C16" s="31" t="s">
        <v>55</v>
      </c>
      <c r="D16" s="32">
        <v>40</v>
      </c>
      <c r="E16" s="37"/>
      <c r="F16" s="33"/>
    </row>
    <row r="17" spans="1:6" ht="17.25" customHeight="1" x14ac:dyDescent="0.25">
      <c r="A17" s="74" t="s">
        <v>60</v>
      </c>
      <c r="B17" s="70" t="s">
        <v>61</v>
      </c>
      <c r="C17" s="75"/>
      <c r="D17" s="76"/>
      <c r="E17" s="76"/>
      <c r="F17" s="77"/>
    </row>
    <row r="18" spans="1:6" ht="17.25" customHeight="1" x14ac:dyDescent="0.25">
      <c r="A18" s="34" t="s">
        <v>62</v>
      </c>
      <c r="B18" s="35" t="s">
        <v>63</v>
      </c>
      <c r="C18" s="36" t="s">
        <v>48</v>
      </c>
      <c r="D18" s="37">
        <v>1</v>
      </c>
      <c r="E18" s="37"/>
      <c r="F18" s="38"/>
    </row>
    <row r="19" spans="1:6" ht="15.75" customHeight="1" x14ac:dyDescent="0.25">
      <c r="A19" s="39"/>
      <c r="B19" s="40" t="s">
        <v>64</v>
      </c>
      <c r="C19" s="36" t="s">
        <v>55</v>
      </c>
      <c r="D19" s="37">
        <v>16</v>
      </c>
      <c r="E19" s="19"/>
      <c r="F19" s="38"/>
    </row>
    <row r="20" spans="1:6" ht="15.75" customHeight="1" x14ac:dyDescent="0.25">
      <c r="A20" s="39"/>
      <c r="B20" s="40" t="s">
        <v>65</v>
      </c>
      <c r="C20" s="36" t="s">
        <v>46</v>
      </c>
      <c r="D20" s="37">
        <v>100</v>
      </c>
      <c r="E20" s="19"/>
      <c r="F20" s="38"/>
    </row>
    <row r="21" spans="1:6" ht="17.25" customHeight="1" x14ac:dyDescent="0.25">
      <c r="A21" s="74" t="s">
        <v>66</v>
      </c>
      <c r="B21" s="70" t="s">
        <v>67</v>
      </c>
      <c r="C21" s="75"/>
      <c r="D21" s="76"/>
      <c r="E21" s="76"/>
      <c r="F21" s="77"/>
    </row>
    <row r="22" spans="1:6" ht="15.75" customHeight="1" x14ac:dyDescent="0.25">
      <c r="A22" s="34" t="s">
        <v>68</v>
      </c>
      <c r="B22" s="35" t="s">
        <v>69</v>
      </c>
      <c r="C22" s="43" t="s">
        <v>70</v>
      </c>
      <c r="D22" s="37">
        <v>24</v>
      </c>
      <c r="E22" s="37"/>
      <c r="F22" s="44"/>
    </row>
    <row r="23" spans="1:6" ht="30" customHeight="1" x14ac:dyDescent="0.25">
      <c r="A23" s="39"/>
      <c r="B23" s="45" t="s">
        <v>71</v>
      </c>
      <c r="C23" s="43" t="s">
        <v>55</v>
      </c>
      <c r="D23" s="37">
        <v>20</v>
      </c>
      <c r="E23" s="19"/>
      <c r="F23" s="44"/>
    </row>
    <row r="24" spans="1:6" ht="15.75" customHeight="1" x14ac:dyDescent="0.25">
      <c r="A24" s="39"/>
      <c r="B24" s="45" t="s">
        <v>72</v>
      </c>
      <c r="C24" s="43" t="s">
        <v>55</v>
      </c>
      <c r="D24" s="37">
        <v>10</v>
      </c>
      <c r="E24" s="19"/>
      <c r="F24" s="44"/>
    </row>
    <row r="25" spans="1:6" ht="15.75" customHeight="1" x14ac:dyDescent="0.25">
      <c r="A25" s="39"/>
      <c r="B25" s="45" t="s">
        <v>73</v>
      </c>
      <c r="C25" s="43" t="s">
        <v>55</v>
      </c>
      <c r="D25" s="37">
        <v>14</v>
      </c>
      <c r="E25" s="37"/>
      <c r="F25" s="44"/>
    </row>
    <row r="26" spans="1:6" ht="30" customHeight="1" x14ac:dyDescent="0.25">
      <c r="A26" s="39"/>
      <c r="B26" s="45" t="s">
        <v>74</v>
      </c>
      <c r="C26" s="43" t="s">
        <v>55</v>
      </c>
      <c r="D26" s="37">
        <v>8</v>
      </c>
      <c r="E26" s="37"/>
      <c r="F26" s="44"/>
    </row>
    <row r="27" spans="1:6" ht="31.5" customHeight="1" x14ac:dyDescent="0.25">
      <c r="A27" s="39"/>
      <c r="B27" s="45" t="s">
        <v>75</v>
      </c>
      <c r="C27" s="43" t="s">
        <v>55</v>
      </c>
      <c r="D27" s="37">
        <v>8</v>
      </c>
      <c r="E27" s="19"/>
      <c r="F27" s="44"/>
    </row>
    <row r="28" spans="1:6" ht="32.25" customHeight="1" x14ac:dyDescent="0.25">
      <c r="A28" s="39"/>
      <c r="B28" s="45" t="s">
        <v>76</v>
      </c>
      <c r="C28" s="43" t="s">
        <v>55</v>
      </c>
      <c r="D28" s="37">
        <v>4</v>
      </c>
      <c r="E28" s="37"/>
      <c r="F28" s="44"/>
    </row>
    <row r="29" spans="1:6" ht="30" customHeight="1" x14ac:dyDescent="0.25">
      <c r="A29" s="39"/>
      <c r="B29" s="45" t="s">
        <v>77</v>
      </c>
      <c r="C29" s="43" t="s">
        <v>55</v>
      </c>
      <c r="D29" s="37">
        <v>8</v>
      </c>
      <c r="E29" s="37"/>
      <c r="F29" s="44"/>
    </row>
    <row r="30" spans="1:6" ht="15.75" customHeight="1" x14ac:dyDescent="0.25">
      <c r="A30" s="39"/>
      <c r="B30" s="45" t="s">
        <v>78</v>
      </c>
      <c r="C30" s="43" t="s">
        <v>55</v>
      </c>
      <c r="D30" s="37">
        <v>16</v>
      </c>
      <c r="E30" s="37"/>
      <c r="F30" s="44"/>
    </row>
    <row r="31" spans="1:6" ht="28.5" customHeight="1" x14ac:dyDescent="0.25">
      <c r="A31" s="39"/>
      <c r="B31" s="45" t="s">
        <v>79</v>
      </c>
      <c r="C31" s="43" t="s">
        <v>55</v>
      </c>
      <c r="D31" s="37">
        <v>12</v>
      </c>
      <c r="E31" s="37"/>
      <c r="F31" s="44"/>
    </row>
    <row r="32" spans="1:6" ht="15" customHeight="1" x14ac:dyDescent="0.25">
      <c r="A32" s="39"/>
      <c r="B32" s="45" t="s">
        <v>80</v>
      </c>
      <c r="C32" s="43" t="s">
        <v>55</v>
      </c>
      <c r="D32" s="37">
        <v>8</v>
      </c>
      <c r="E32" s="37"/>
      <c r="F32" s="44"/>
    </row>
    <row r="33" spans="1:6" ht="15.75" customHeight="1" x14ac:dyDescent="0.25">
      <c r="A33" s="46" t="s">
        <v>378</v>
      </c>
      <c r="B33" s="47" t="s">
        <v>379</v>
      </c>
      <c r="C33" s="48" t="s">
        <v>55</v>
      </c>
      <c r="D33" s="37">
        <v>3</v>
      </c>
      <c r="E33" s="37"/>
      <c r="F33" s="44"/>
    </row>
    <row r="34" spans="1:6" ht="17.25" customHeight="1" x14ac:dyDescent="0.25">
      <c r="A34" s="74" t="s">
        <v>81</v>
      </c>
      <c r="B34" s="78" t="s">
        <v>82</v>
      </c>
      <c r="C34" s="79"/>
      <c r="D34" s="80"/>
      <c r="E34" s="76"/>
      <c r="F34" s="77"/>
    </row>
    <row r="35" spans="1:6" ht="17.25" customHeight="1" x14ac:dyDescent="0.25">
      <c r="A35" s="34" t="s">
        <v>83</v>
      </c>
      <c r="B35" s="35" t="s">
        <v>84</v>
      </c>
      <c r="C35" s="36" t="s">
        <v>48</v>
      </c>
      <c r="D35" s="37">
        <v>1</v>
      </c>
      <c r="E35" s="37"/>
      <c r="F35" s="38"/>
    </row>
    <row r="36" spans="1:6" ht="17.25" customHeight="1" x14ac:dyDescent="0.25">
      <c r="A36" s="49"/>
      <c r="B36" s="35"/>
      <c r="C36" s="50"/>
      <c r="D36" s="37"/>
      <c r="E36" s="37"/>
      <c r="F36" s="38"/>
    </row>
    <row r="37" spans="1:6" ht="20.25" customHeight="1" x14ac:dyDescent="0.25">
      <c r="A37" s="74" t="s">
        <v>85</v>
      </c>
      <c r="B37" s="81" t="s">
        <v>86</v>
      </c>
      <c r="C37" s="79"/>
      <c r="D37" s="80"/>
      <c r="E37" s="76"/>
      <c r="F37" s="82"/>
    </row>
    <row r="38" spans="1:6" ht="17.25" customHeight="1" x14ac:dyDescent="0.25">
      <c r="A38" s="34" t="s">
        <v>87</v>
      </c>
      <c r="B38" s="35" t="s">
        <v>88</v>
      </c>
      <c r="C38" s="36" t="s">
        <v>46</v>
      </c>
      <c r="D38" s="37">
        <v>100</v>
      </c>
      <c r="E38" s="37"/>
      <c r="F38" s="38"/>
    </row>
    <row r="39" spans="1:6" ht="15.75" customHeight="1" x14ac:dyDescent="0.25">
      <c r="A39" s="39"/>
      <c r="B39" s="45" t="s">
        <v>89</v>
      </c>
      <c r="C39" s="43" t="s">
        <v>55</v>
      </c>
      <c r="D39" s="37">
        <v>100</v>
      </c>
      <c r="E39" s="19"/>
      <c r="F39" s="44"/>
    </row>
    <row r="40" spans="1:6" ht="15.75" customHeight="1" x14ac:dyDescent="0.25">
      <c r="A40" s="39"/>
      <c r="B40" s="51" t="s">
        <v>90</v>
      </c>
      <c r="C40" s="52" t="s">
        <v>55</v>
      </c>
      <c r="D40" s="53">
        <v>25</v>
      </c>
      <c r="E40" s="37"/>
      <c r="F40" s="44"/>
    </row>
    <row r="41" spans="1:6" ht="17.25" customHeight="1" x14ac:dyDescent="0.25">
      <c r="A41" s="34" t="s">
        <v>91</v>
      </c>
      <c r="B41" s="35" t="s">
        <v>92</v>
      </c>
      <c r="C41" s="36" t="s">
        <v>46</v>
      </c>
      <c r="D41" s="37">
        <v>100</v>
      </c>
      <c r="E41" s="37"/>
      <c r="F41" s="38"/>
    </row>
    <row r="42" spans="1:6" ht="15.75" customHeight="1" x14ac:dyDescent="0.25">
      <c r="A42" s="39"/>
      <c r="B42" s="45" t="s">
        <v>93</v>
      </c>
      <c r="C42" s="43" t="s">
        <v>55</v>
      </c>
      <c r="D42" s="37">
        <v>100</v>
      </c>
      <c r="E42" s="37"/>
      <c r="F42" s="44"/>
    </row>
    <row r="43" spans="1:6" ht="15.75" customHeight="1" x14ac:dyDescent="0.25">
      <c r="A43" s="39"/>
      <c r="B43" s="45" t="s">
        <v>94</v>
      </c>
      <c r="C43" s="43" t="s">
        <v>55</v>
      </c>
      <c r="D43" s="37">
        <v>5</v>
      </c>
      <c r="E43" s="37"/>
      <c r="F43" s="44"/>
    </row>
    <row r="44" spans="1:6" ht="17.25" customHeight="1" x14ac:dyDescent="0.25">
      <c r="A44" s="34" t="s">
        <v>95</v>
      </c>
      <c r="B44" s="35" t="s">
        <v>96</v>
      </c>
      <c r="C44" s="36" t="s">
        <v>46</v>
      </c>
      <c r="D44" s="37">
        <v>100</v>
      </c>
      <c r="E44" s="37"/>
      <c r="F44" s="38"/>
    </row>
    <row r="45" spans="1:6" ht="15.75" customHeight="1" x14ac:dyDescent="0.25">
      <c r="A45" s="49"/>
      <c r="B45" s="45" t="s">
        <v>97</v>
      </c>
      <c r="C45" s="43" t="s">
        <v>55</v>
      </c>
      <c r="D45" s="37">
        <v>50</v>
      </c>
      <c r="E45" s="37"/>
      <c r="F45" s="44"/>
    </row>
    <row r="46" spans="1:6" ht="20.25" customHeight="1" x14ac:dyDescent="0.25">
      <c r="A46" s="74" t="s">
        <v>98</v>
      </c>
      <c r="B46" s="83" t="s">
        <v>99</v>
      </c>
      <c r="C46" s="84"/>
      <c r="D46" s="76"/>
      <c r="E46" s="76"/>
      <c r="F46" s="85"/>
    </row>
    <row r="47" spans="1:6" ht="30.75" customHeight="1" x14ac:dyDescent="0.25">
      <c r="A47" s="34" t="s">
        <v>100</v>
      </c>
      <c r="B47" s="35" t="s">
        <v>101</v>
      </c>
      <c r="C47" s="54" t="s">
        <v>45</v>
      </c>
      <c r="D47" s="37">
        <v>195.84</v>
      </c>
      <c r="E47" s="37"/>
      <c r="F47" s="55"/>
    </row>
    <row r="48" spans="1:6" ht="17.25" customHeight="1" x14ac:dyDescent="0.25">
      <c r="A48" s="49"/>
      <c r="B48" s="40" t="s">
        <v>102</v>
      </c>
      <c r="C48" s="54" t="s">
        <v>49</v>
      </c>
      <c r="D48" s="37">
        <f>D47*0.1</f>
        <v>19.584000000000003</v>
      </c>
      <c r="E48" s="37"/>
      <c r="F48" s="55"/>
    </row>
    <row r="49" spans="1:6" ht="17.25" customHeight="1" x14ac:dyDescent="0.25">
      <c r="A49" s="49"/>
      <c r="B49" s="40" t="s">
        <v>103</v>
      </c>
      <c r="C49" s="54" t="s">
        <v>45</v>
      </c>
      <c r="D49" s="37">
        <v>75</v>
      </c>
      <c r="E49" s="37"/>
      <c r="F49" s="55"/>
    </row>
    <row r="50" spans="1:6" ht="15.75" customHeight="1" x14ac:dyDescent="0.25">
      <c r="A50" s="34" t="s">
        <v>104</v>
      </c>
      <c r="B50" s="35" t="s">
        <v>105</v>
      </c>
      <c r="C50" s="54" t="s">
        <v>45</v>
      </c>
      <c r="D50" s="37">
        <f>D47</f>
        <v>195.84</v>
      </c>
      <c r="E50" s="37"/>
      <c r="F50" s="56"/>
    </row>
    <row r="51" spans="1:6" ht="15.75" customHeight="1" x14ac:dyDescent="0.25">
      <c r="A51" s="34"/>
      <c r="B51" s="40" t="s">
        <v>106</v>
      </c>
      <c r="C51" s="54" t="s">
        <v>55</v>
      </c>
      <c r="D51" s="37">
        <v>288</v>
      </c>
      <c r="E51" s="37"/>
      <c r="F51" s="56"/>
    </row>
    <row r="52" spans="1:6" ht="15.75" customHeight="1" x14ac:dyDescent="0.25">
      <c r="A52" s="34" t="s">
        <v>107</v>
      </c>
      <c r="B52" s="35" t="s">
        <v>108</v>
      </c>
      <c r="C52" s="54" t="s">
        <v>45</v>
      </c>
      <c r="D52" s="37">
        <v>195.84</v>
      </c>
      <c r="E52" s="37"/>
      <c r="F52" s="25"/>
    </row>
    <row r="53" spans="1:6" ht="15.75" customHeight="1" x14ac:dyDescent="0.25">
      <c r="A53" s="34"/>
      <c r="B53" s="40" t="s">
        <v>109</v>
      </c>
      <c r="C53" s="54" t="s">
        <v>55</v>
      </c>
      <c r="D53" s="37">
        <v>196</v>
      </c>
      <c r="E53" s="37"/>
      <c r="F53" s="56"/>
    </row>
    <row r="54" spans="1:6" ht="15.75" customHeight="1" x14ac:dyDescent="0.25">
      <c r="A54" s="34" t="s">
        <v>110</v>
      </c>
      <c r="B54" s="35" t="s">
        <v>111</v>
      </c>
      <c r="C54" s="54" t="s">
        <v>45</v>
      </c>
      <c r="D54" s="37">
        <f>D47</f>
        <v>195.84</v>
      </c>
      <c r="E54" s="37"/>
      <c r="F54" s="56"/>
    </row>
    <row r="55" spans="1:6" ht="15.75" customHeight="1" x14ac:dyDescent="0.25">
      <c r="A55" s="34"/>
      <c r="B55" s="57" t="s">
        <v>112</v>
      </c>
      <c r="C55" s="54" t="s">
        <v>55</v>
      </c>
      <c r="D55" s="37">
        <f>D54*17/50</f>
        <v>66.585599999999999</v>
      </c>
      <c r="E55" s="37"/>
      <c r="F55" s="56"/>
    </row>
    <row r="56" spans="1:6" ht="15.75" customHeight="1" x14ac:dyDescent="0.25">
      <c r="A56" s="34"/>
      <c r="B56" s="57" t="s">
        <v>113</v>
      </c>
      <c r="C56" s="54" t="s">
        <v>114</v>
      </c>
      <c r="D56" s="37">
        <f>D54*0.2</f>
        <v>39.168000000000006</v>
      </c>
      <c r="E56" s="37"/>
      <c r="F56" s="56"/>
    </row>
    <row r="57" spans="1:6" ht="15.75" customHeight="1" x14ac:dyDescent="0.25">
      <c r="A57" s="34"/>
      <c r="B57" s="57" t="s">
        <v>115</v>
      </c>
      <c r="C57" s="54" t="s">
        <v>49</v>
      </c>
      <c r="D57" s="37">
        <v>19</v>
      </c>
      <c r="E57" s="37"/>
      <c r="F57" s="56"/>
    </row>
    <row r="58" spans="1:6" ht="15.75" customHeight="1" x14ac:dyDescent="0.25">
      <c r="A58" s="34"/>
      <c r="B58" s="57" t="s">
        <v>116</v>
      </c>
      <c r="C58" s="54" t="s">
        <v>117</v>
      </c>
      <c r="D58" s="37">
        <v>62</v>
      </c>
      <c r="E58" s="19"/>
      <c r="F58" s="56"/>
    </row>
    <row r="59" spans="1:6" ht="15.75" customHeight="1" x14ac:dyDescent="0.25">
      <c r="A59" s="34"/>
      <c r="B59" s="57" t="s">
        <v>118</v>
      </c>
      <c r="C59" s="54" t="s">
        <v>45</v>
      </c>
      <c r="D59" s="37">
        <v>130</v>
      </c>
      <c r="E59" s="37"/>
      <c r="F59" s="56"/>
    </row>
    <row r="60" spans="1:6" ht="20.25" customHeight="1" x14ac:dyDescent="0.25">
      <c r="A60" s="74" t="s">
        <v>119</v>
      </c>
      <c r="B60" s="83" t="s">
        <v>120</v>
      </c>
      <c r="C60" s="84"/>
      <c r="D60" s="76"/>
      <c r="E60" s="76"/>
      <c r="F60" s="85"/>
    </row>
    <row r="61" spans="1:6" ht="15.75" customHeight="1" x14ac:dyDescent="0.25">
      <c r="A61" s="34" t="s">
        <v>121</v>
      </c>
      <c r="B61" s="35" t="s">
        <v>122</v>
      </c>
      <c r="C61" s="58" t="s">
        <v>114</v>
      </c>
      <c r="D61" s="37">
        <v>195.84</v>
      </c>
      <c r="E61" s="37"/>
      <c r="F61" s="56"/>
    </row>
    <row r="62" spans="1:6" ht="15.75" customHeight="1" x14ac:dyDescent="0.25">
      <c r="A62" s="34"/>
      <c r="B62" s="40" t="s">
        <v>123</v>
      </c>
      <c r="C62" s="43" t="s">
        <v>55</v>
      </c>
      <c r="D62" s="37">
        <v>1</v>
      </c>
      <c r="E62" s="37"/>
      <c r="F62" s="56"/>
    </row>
    <row r="63" spans="1:6" ht="15.75" customHeight="1" x14ac:dyDescent="0.25">
      <c r="A63" s="34"/>
      <c r="B63" s="40" t="s">
        <v>124</v>
      </c>
      <c r="C63" s="54" t="s">
        <v>55</v>
      </c>
      <c r="D63" s="37">
        <v>51</v>
      </c>
      <c r="E63" s="19"/>
      <c r="F63" s="56"/>
    </row>
    <row r="64" spans="1:6" ht="15.75" customHeight="1" x14ac:dyDescent="0.25">
      <c r="A64" s="34"/>
      <c r="B64" s="40" t="s">
        <v>125</v>
      </c>
      <c r="C64" s="36" t="s">
        <v>55</v>
      </c>
      <c r="D64" s="37">
        <v>1</v>
      </c>
      <c r="E64" s="37"/>
      <c r="F64" s="56"/>
    </row>
    <row r="65" spans="1:6" ht="15.75" customHeight="1" x14ac:dyDescent="0.25">
      <c r="A65" s="34" t="s">
        <v>126</v>
      </c>
      <c r="B65" s="35" t="s">
        <v>127</v>
      </c>
      <c r="C65" s="59" t="s">
        <v>45</v>
      </c>
      <c r="D65" s="37">
        <v>18.72</v>
      </c>
      <c r="E65" s="37"/>
      <c r="F65" s="56"/>
    </row>
    <row r="66" spans="1:6" ht="15.75" customHeight="1" x14ac:dyDescent="0.25">
      <c r="A66" s="34"/>
      <c r="B66" s="40" t="s">
        <v>128</v>
      </c>
      <c r="C66" s="54" t="s">
        <v>129</v>
      </c>
      <c r="D66" s="37">
        <f>D65*0.15</f>
        <v>2.8079999999999998</v>
      </c>
      <c r="E66" s="19"/>
      <c r="F66" s="56"/>
    </row>
    <row r="67" spans="1:6" ht="15.75" customHeight="1" x14ac:dyDescent="0.25">
      <c r="A67" s="34"/>
      <c r="B67" s="40" t="s">
        <v>130</v>
      </c>
      <c r="C67" s="54" t="s">
        <v>114</v>
      </c>
      <c r="D67" s="37">
        <f>D65*7</f>
        <v>131.04</v>
      </c>
      <c r="E67" s="37"/>
      <c r="F67" s="56"/>
    </row>
    <row r="68" spans="1:6" ht="15.75" customHeight="1" x14ac:dyDescent="0.25">
      <c r="A68" s="34" t="s">
        <v>131</v>
      </c>
      <c r="B68" s="35" t="s">
        <v>132</v>
      </c>
      <c r="C68" s="54" t="s">
        <v>133</v>
      </c>
      <c r="D68" s="37">
        <v>60.88</v>
      </c>
      <c r="E68" s="37"/>
      <c r="F68" s="56"/>
    </row>
    <row r="69" spans="1:6" ht="15.75" customHeight="1" x14ac:dyDescent="0.25">
      <c r="A69" s="34"/>
      <c r="B69" s="40" t="s">
        <v>134</v>
      </c>
      <c r="C69" s="60" t="s">
        <v>55</v>
      </c>
      <c r="D69" s="37">
        <f>D68/25</f>
        <v>2.4352</v>
      </c>
      <c r="E69" s="37"/>
      <c r="F69" s="56"/>
    </row>
    <row r="70" spans="1:6" ht="15.75" customHeight="1" x14ac:dyDescent="0.25">
      <c r="A70" s="34" t="s">
        <v>135</v>
      </c>
      <c r="B70" s="35" t="s">
        <v>136</v>
      </c>
      <c r="C70" s="54" t="s">
        <v>45</v>
      </c>
      <c r="D70" s="37">
        <v>195.84</v>
      </c>
      <c r="E70" s="37"/>
      <c r="F70" s="56"/>
    </row>
    <row r="71" spans="1:6" ht="15.75" customHeight="1" x14ac:dyDescent="0.25">
      <c r="A71" s="34"/>
      <c r="B71" s="40" t="s">
        <v>137</v>
      </c>
      <c r="C71" s="61" t="s">
        <v>114</v>
      </c>
      <c r="D71" s="37">
        <f>D70*0.25</f>
        <v>48.96</v>
      </c>
      <c r="E71" s="19"/>
      <c r="F71" s="56"/>
    </row>
    <row r="72" spans="1:6" ht="20.25" customHeight="1" x14ac:dyDescent="0.25">
      <c r="A72" s="74" t="s">
        <v>138</v>
      </c>
      <c r="B72" s="83" t="s">
        <v>139</v>
      </c>
      <c r="C72" s="84"/>
      <c r="D72" s="76"/>
      <c r="E72" s="76"/>
      <c r="F72" s="85"/>
    </row>
    <row r="73" spans="1:6" ht="18.75" customHeight="1" x14ac:dyDescent="0.25">
      <c r="A73" s="34" t="s">
        <v>140</v>
      </c>
      <c r="B73" s="35" t="s">
        <v>141</v>
      </c>
      <c r="C73" s="43" t="s">
        <v>133</v>
      </c>
      <c r="D73" s="37">
        <v>1055</v>
      </c>
      <c r="E73" s="37"/>
      <c r="F73" s="44"/>
    </row>
    <row r="74" spans="1:6" ht="18.75" customHeight="1" x14ac:dyDescent="0.25">
      <c r="A74" s="34"/>
      <c r="B74" s="40" t="s">
        <v>142</v>
      </c>
      <c r="C74" s="43" t="s">
        <v>133</v>
      </c>
      <c r="D74" s="37">
        <v>488</v>
      </c>
      <c r="E74" s="37"/>
      <c r="F74" s="44"/>
    </row>
    <row r="75" spans="1:6" ht="33" customHeight="1" x14ac:dyDescent="0.25">
      <c r="A75" s="34"/>
      <c r="B75" s="40" t="s">
        <v>143</v>
      </c>
      <c r="C75" s="43" t="s">
        <v>133</v>
      </c>
      <c r="D75" s="37">
        <v>488</v>
      </c>
      <c r="E75" s="19"/>
      <c r="F75" s="44"/>
    </row>
    <row r="76" spans="1:6" ht="18.75" customHeight="1" x14ac:dyDescent="0.25">
      <c r="A76" s="34"/>
      <c r="B76" s="40" t="s">
        <v>144</v>
      </c>
      <c r="C76" s="43" t="s">
        <v>133</v>
      </c>
      <c r="D76" s="37">
        <v>80</v>
      </c>
      <c r="E76" s="37"/>
      <c r="F76" s="44"/>
    </row>
    <row r="77" spans="1:6" ht="18.75" customHeight="1" x14ac:dyDescent="0.25">
      <c r="A77" s="34"/>
      <c r="B77" s="40" t="s">
        <v>145</v>
      </c>
      <c r="C77" s="43" t="s">
        <v>133</v>
      </c>
      <c r="D77" s="37">
        <f>D73</f>
        <v>1055</v>
      </c>
      <c r="E77" s="21" t="s">
        <v>389</v>
      </c>
      <c r="F77" s="44" t="s">
        <v>390</v>
      </c>
    </row>
    <row r="78" spans="1:6" ht="18.75" customHeight="1" x14ac:dyDescent="0.25">
      <c r="A78" s="34"/>
      <c r="B78" s="40" t="s">
        <v>146</v>
      </c>
      <c r="C78" s="43" t="s">
        <v>147</v>
      </c>
      <c r="D78" s="37">
        <f>D73*0.6</f>
        <v>633</v>
      </c>
      <c r="E78" s="20"/>
      <c r="F78" s="44"/>
    </row>
    <row r="79" spans="1:6" ht="33" customHeight="1" x14ac:dyDescent="0.25">
      <c r="A79" s="34" t="s">
        <v>148</v>
      </c>
      <c r="B79" s="35" t="s">
        <v>149</v>
      </c>
      <c r="C79" s="43" t="s">
        <v>55</v>
      </c>
      <c r="D79" s="37">
        <v>40</v>
      </c>
      <c r="E79" s="62"/>
      <c r="F79" s="44"/>
    </row>
    <row r="80" spans="1:6" ht="31.5" customHeight="1" x14ac:dyDescent="0.25">
      <c r="A80" s="34"/>
      <c r="B80" s="40" t="s">
        <v>150</v>
      </c>
      <c r="C80" s="43" t="s">
        <v>55</v>
      </c>
      <c r="D80" s="37">
        <v>32</v>
      </c>
      <c r="E80" s="20"/>
      <c r="F80" s="44"/>
    </row>
    <row r="81" spans="1:6" ht="31.5" customHeight="1" x14ac:dyDescent="0.25">
      <c r="A81" s="34"/>
      <c r="B81" s="40" t="s">
        <v>151</v>
      </c>
      <c r="C81" s="43" t="s">
        <v>55</v>
      </c>
      <c r="D81" s="37">
        <v>40</v>
      </c>
      <c r="E81" s="20"/>
      <c r="F81" s="44"/>
    </row>
    <row r="82" spans="1:6" ht="18.75" customHeight="1" x14ac:dyDescent="0.25">
      <c r="A82" s="34" t="s">
        <v>152</v>
      </c>
      <c r="B82" s="35" t="s">
        <v>153</v>
      </c>
      <c r="C82" s="43" t="s">
        <v>55</v>
      </c>
      <c r="D82" s="37">
        <v>8</v>
      </c>
      <c r="E82" s="62"/>
      <c r="F82" s="44"/>
    </row>
    <row r="83" spans="1:6" ht="31.5" customHeight="1" x14ac:dyDescent="0.25">
      <c r="A83" s="34"/>
      <c r="B83" s="40" t="s">
        <v>154</v>
      </c>
      <c r="C83" s="43" t="s">
        <v>55</v>
      </c>
      <c r="D83" s="37">
        <v>8</v>
      </c>
      <c r="E83" s="21" t="s">
        <v>391</v>
      </c>
      <c r="F83" s="44"/>
    </row>
    <row r="84" spans="1:6" ht="16.5" customHeight="1" x14ac:dyDescent="0.25">
      <c r="A84" s="34" t="s">
        <v>155</v>
      </c>
      <c r="B84" s="35" t="s">
        <v>156</v>
      </c>
      <c r="C84" s="43" t="s">
        <v>55</v>
      </c>
      <c r="D84" s="37">
        <v>8</v>
      </c>
      <c r="E84" s="62"/>
      <c r="F84" s="44"/>
    </row>
    <row r="85" spans="1:6" ht="31.5" customHeight="1" x14ac:dyDescent="0.25">
      <c r="A85" s="34"/>
      <c r="B85" s="40" t="s">
        <v>157</v>
      </c>
      <c r="C85" s="43" t="s">
        <v>47</v>
      </c>
      <c r="D85" s="37">
        <v>8</v>
      </c>
      <c r="E85" s="62"/>
      <c r="F85" s="63"/>
    </row>
    <row r="86" spans="1:6" ht="18" customHeight="1" x14ac:dyDescent="0.25">
      <c r="A86" s="34" t="s">
        <v>158</v>
      </c>
      <c r="B86" s="35" t="s">
        <v>159</v>
      </c>
      <c r="C86" s="43" t="s">
        <v>55</v>
      </c>
      <c r="D86" s="37">
        <v>8</v>
      </c>
      <c r="E86" s="62"/>
      <c r="F86" s="44"/>
    </row>
    <row r="87" spans="1:6" ht="31.5" customHeight="1" x14ac:dyDescent="0.25">
      <c r="A87" s="34"/>
      <c r="B87" s="40" t="s">
        <v>160</v>
      </c>
      <c r="C87" s="43" t="s">
        <v>55</v>
      </c>
      <c r="D87" s="37">
        <v>8</v>
      </c>
      <c r="E87" s="62"/>
      <c r="F87" s="63"/>
    </row>
    <row r="88" spans="1:6" ht="17.25" customHeight="1" x14ac:dyDescent="0.25">
      <c r="A88" s="34" t="s">
        <v>161</v>
      </c>
      <c r="B88" s="35" t="s">
        <v>162</v>
      </c>
      <c r="C88" s="43" t="s">
        <v>55</v>
      </c>
      <c r="D88" s="37">
        <v>48</v>
      </c>
      <c r="E88" s="62"/>
      <c r="F88" s="44"/>
    </row>
    <row r="89" spans="1:6" ht="31.5" customHeight="1" x14ac:dyDescent="0.25">
      <c r="A89" s="34"/>
      <c r="B89" s="40" t="s">
        <v>163</v>
      </c>
      <c r="C89" s="43" t="s">
        <v>55</v>
      </c>
      <c r="D89" s="37">
        <v>24</v>
      </c>
      <c r="E89" s="21"/>
      <c r="F89" s="63"/>
    </row>
    <row r="90" spans="1:6" ht="31.5" customHeight="1" x14ac:dyDescent="0.25">
      <c r="A90" s="34"/>
      <c r="B90" s="40" t="s">
        <v>164</v>
      </c>
      <c r="C90" s="43" t="s">
        <v>55</v>
      </c>
      <c r="D90" s="37">
        <v>24</v>
      </c>
      <c r="E90" s="21"/>
      <c r="F90" s="63"/>
    </row>
    <row r="91" spans="1:6" ht="17.25" customHeight="1" x14ac:dyDescent="0.25">
      <c r="A91" s="34" t="s">
        <v>165</v>
      </c>
      <c r="B91" s="35" t="s">
        <v>166</v>
      </c>
      <c r="C91" s="43" t="s">
        <v>55</v>
      </c>
      <c r="D91" s="37">
        <v>64</v>
      </c>
      <c r="E91" s="62"/>
      <c r="F91" s="44"/>
    </row>
    <row r="92" spans="1:6" ht="31.5" customHeight="1" x14ac:dyDescent="0.25">
      <c r="A92" s="34"/>
      <c r="B92" s="40" t="s">
        <v>167</v>
      </c>
      <c r="C92" s="43" t="s">
        <v>55</v>
      </c>
      <c r="D92" s="37">
        <v>64</v>
      </c>
      <c r="E92" s="20"/>
      <c r="F92" s="63"/>
    </row>
    <row r="93" spans="1:6" ht="20.25" customHeight="1" x14ac:dyDescent="0.25">
      <c r="A93" s="74" t="s">
        <v>16</v>
      </c>
      <c r="B93" s="83" t="s">
        <v>168</v>
      </c>
      <c r="C93" s="84"/>
      <c r="D93" s="76"/>
      <c r="E93" s="76"/>
      <c r="F93" s="85"/>
    </row>
    <row r="94" spans="1:6" ht="18.75" customHeight="1" x14ac:dyDescent="0.25">
      <c r="A94" s="34"/>
      <c r="B94" s="40" t="s">
        <v>169</v>
      </c>
      <c r="C94" s="43" t="s">
        <v>55</v>
      </c>
      <c r="D94" s="37">
        <v>32</v>
      </c>
      <c r="E94" s="62"/>
      <c r="F94" s="63"/>
    </row>
    <row r="95" spans="1:6" ht="16.5" customHeight="1" x14ac:dyDescent="0.25">
      <c r="A95" s="34"/>
      <c r="B95" s="40" t="s">
        <v>170</v>
      </c>
      <c r="C95" s="43" t="s">
        <v>55</v>
      </c>
      <c r="D95" s="37">
        <v>8</v>
      </c>
      <c r="E95" s="62"/>
      <c r="F95" s="63"/>
    </row>
    <row r="96" spans="1:6" ht="14.25" customHeight="1" x14ac:dyDescent="0.25">
      <c r="A96" s="34"/>
      <c r="B96" s="40" t="s">
        <v>171</v>
      </c>
      <c r="C96" s="43" t="s">
        <v>55</v>
      </c>
      <c r="D96" s="37">
        <v>8</v>
      </c>
      <c r="E96" s="62"/>
      <c r="F96" s="63"/>
    </row>
    <row r="97" spans="1:6" ht="15" customHeight="1" x14ac:dyDescent="0.25">
      <c r="A97" s="34"/>
      <c r="B97" s="40" t="s">
        <v>172</v>
      </c>
      <c r="C97" s="43" t="s">
        <v>55</v>
      </c>
      <c r="D97" s="37">
        <v>8</v>
      </c>
      <c r="E97" s="62"/>
      <c r="F97" s="63"/>
    </row>
    <row r="98" spans="1:6" ht="17.25" customHeight="1" x14ac:dyDescent="0.25">
      <c r="A98" s="34"/>
      <c r="B98" s="40" t="s">
        <v>173</v>
      </c>
      <c r="C98" s="43" t="s">
        <v>55</v>
      </c>
      <c r="D98" s="37">
        <v>8</v>
      </c>
      <c r="E98" s="62"/>
      <c r="F98" s="63"/>
    </row>
    <row r="99" spans="1:6" ht="17.25" customHeight="1" x14ac:dyDescent="0.25">
      <c r="A99" s="34"/>
      <c r="B99" s="40" t="s">
        <v>174</v>
      </c>
      <c r="C99" s="43" t="s">
        <v>46</v>
      </c>
      <c r="D99" s="37">
        <v>300</v>
      </c>
      <c r="E99" s="62"/>
      <c r="F99" s="63"/>
    </row>
    <row r="100" spans="1:6" ht="17.25" customHeight="1" x14ac:dyDescent="0.25">
      <c r="A100" s="34"/>
      <c r="B100" s="40" t="s">
        <v>175</v>
      </c>
      <c r="C100" s="43" t="s">
        <v>55</v>
      </c>
      <c r="D100" s="37">
        <v>200</v>
      </c>
      <c r="E100" s="62"/>
      <c r="F100" s="63"/>
    </row>
    <row r="101" spans="1:6" ht="16.5" customHeight="1" x14ac:dyDescent="0.25">
      <c r="A101" s="34"/>
      <c r="B101" s="40" t="s">
        <v>176</v>
      </c>
      <c r="C101" s="43" t="s">
        <v>46</v>
      </c>
      <c r="D101" s="37">
        <v>400</v>
      </c>
      <c r="E101" s="20"/>
      <c r="F101" s="63"/>
    </row>
    <row r="102" spans="1:6" ht="16.5" customHeight="1" x14ac:dyDescent="0.25">
      <c r="A102" s="34"/>
      <c r="B102" s="40" t="s">
        <v>177</v>
      </c>
      <c r="C102" s="43" t="s">
        <v>46</v>
      </c>
      <c r="D102" s="37">
        <v>20</v>
      </c>
      <c r="E102" s="20"/>
      <c r="F102" s="63"/>
    </row>
    <row r="103" spans="1:6" ht="20.25" customHeight="1" x14ac:dyDescent="0.25">
      <c r="A103" s="74" t="s">
        <v>178</v>
      </c>
      <c r="B103" s="83" t="s">
        <v>179</v>
      </c>
      <c r="C103" s="84"/>
      <c r="D103" s="76"/>
      <c r="E103" s="86"/>
      <c r="F103" s="85"/>
    </row>
    <row r="104" spans="1:6" ht="17.25" customHeight="1" x14ac:dyDescent="0.25">
      <c r="A104" s="34" t="s">
        <v>180</v>
      </c>
      <c r="B104" s="35" t="s">
        <v>181</v>
      </c>
      <c r="C104" s="43" t="s">
        <v>46</v>
      </c>
      <c r="D104" s="37">
        <v>24</v>
      </c>
      <c r="E104" s="62"/>
      <c r="F104" s="44"/>
    </row>
    <row r="105" spans="1:6" ht="31.5" customHeight="1" x14ac:dyDescent="0.25">
      <c r="A105" s="49"/>
      <c r="B105" s="40" t="s">
        <v>182</v>
      </c>
      <c r="C105" s="43" t="s">
        <v>55</v>
      </c>
      <c r="D105" s="37">
        <v>24</v>
      </c>
      <c r="E105" s="62"/>
      <c r="F105" s="63"/>
    </row>
    <row r="106" spans="1:6" ht="31.5" customHeight="1" x14ac:dyDescent="0.25">
      <c r="A106" s="49"/>
      <c r="B106" s="40" t="s">
        <v>183</v>
      </c>
      <c r="C106" s="43" t="s">
        <v>55</v>
      </c>
      <c r="D106" s="37">
        <v>8</v>
      </c>
      <c r="E106" s="62"/>
      <c r="F106" s="63"/>
    </row>
    <row r="107" spans="1:6" ht="31.5" customHeight="1" x14ac:dyDescent="0.25">
      <c r="A107" s="49"/>
      <c r="B107" s="40" t="s">
        <v>184</v>
      </c>
      <c r="C107" s="43" t="s">
        <v>55</v>
      </c>
      <c r="D107" s="37">
        <v>24</v>
      </c>
      <c r="E107" s="62"/>
      <c r="F107" s="63"/>
    </row>
    <row r="108" spans="1:6" ht="31.5" customHeight="1" x14ac:dyDescent="0.25">
      <c r="A108" s="49"/>
      <c r="B108" s="40" t="s">
        <v>185</v>
      </c>
      <c r="C108" s="43" t="s">
        <v>55</v>
      </c>
      <c r="D108" s="37">
        <v>8</v>
      </c>
      <c r="E108" s="62"/>
      <c r="F108" s="63"/>
    </row>
    <row r="109" spans="1:6" ht="31.5" customHeight="1" x14ac:dyDescent="0.25">
      <c r="A109" s="49"/>
      <c r="B109" s="40" t="s">
        <v>186</v>
      </c>
      <c r="C109" s="43" t="s">
        <v>55</v>
      </c>
      <c r="D109" s="37">
        <v>50</v>
      </c>
      <c r="E109" s="62"/>
      <c r="F109" s="63"/>
    </row>
    <row r="110" spans="1:6" ht="18.75" customHeight="1" x14ac:dyDescent="0.25">
      <c r="A110" s="74" t="s">
        <v>187</v>
      </c>
      <c r="B110" s="70" t="s">
        <v>188</v>
      </c>
      <c r="C110" s="75"/>
      <c r="D110" s="76"/>
      <c r="E110" s="86"/>
      <c r="F110" s="77"/>
    </row>
    <row r="111" spans="1:6" ht="37.5" customHeight="1" x14ac:dyDescent="0.25">
      <c r="A111" s="34" t="s">
        <v>189</v>
      </c>
      <c r="B111" s="35" t="s">
        <v>190</v>
      </c>
      <c r="C111" s="36" t="s">
        <v>45</v>
      </c>
      <c r="D111" s="37">
        <v>355.44</v>
      </c>
      <c r="E111" s="62"/>
      <c r="F111" s="55"/>
    </row>
    <row r="112" spans="1:6" ht="18" customHeight="1" x14ac:dyDescent="0.25">
      <c r="A112" s="49"/>
      <c r="B112" s="40" t="s">
        <v>191</v>
      </c>
      <c r="C112" s="36" t="s">
        <v>192</v>
      </c>
      <c r="D112" s="37">
        <f>D111*0.35</f>
        <v>124.404</v>
      </c>
      <c r="E112" s="20"/>
      <c r="F112" s="55"/>
    </row>
    <row r="113" spans="1:6" ht="18.75" customHeight="1" x14ac:dyDescent="0.25">
      <c r="A113" s="49"/>
      <c r="B113" s="40" t="s">
        <v>193</v>
      </c>
      <c r="C113" s="54" t="s">
        <v>55</v>
      </c>
      <c r="D113" s="37">
        <f>D111*3.2/3</f>
        <v>379.13600000000002</v>
      </c>
      <c r="E113" s="62"/>
      <c r="F113" s="55"/>
    </row>
    <row r="114" spans="1:6" ht="21" customHeight="1" x14ac:dyDescent="0.25">
      <c r="A114" s="49"/>
      <c r="B114" s="40" t="s">
        <v>194</v>
      </c>
      <c r="C114" s="54" t="s">
        <v>55</v>
      </c>
      <c r="D114" s="37">
        <f>D111/3</f>
        <v>118.48</v>
      </c>
      <c r="E114" s="62"/>
      <c r="F114" s="55"/>
    </row>
    <row r="115" spans="1:6" ht="18.75" customHeight="1" x14ac:dyDescent="0.25">
      <c r="A115" s="49"/>
      <c r="B115" s="40" t="s">
        <v>195</v>
      </c>
      <c r="C115" s="54" t="s">
        <v>55</v>
      </c>
      <c r="D115" s="37">
        <f>D111*0.7</f>
        <v>248.80799999999999</v>
      </c>
      <c r="E115" s="20"/>
      <c r="F115" s="55"/>
    </row>
    <row r="116" spans="1:6" ht="15.75" customHeight="1" x14ac:dyDescent="0.25">
      <c r="A116" s="49"/>
      <c r="B116" s="40" t="s">
        <v>196</v>
      </c>
      <c r="C116" s="54" t="s">
        <v>55</v>
      </c>
      <c r="D116" s="37">
        <f>D111*0.8/30</f>
        <v>9.4784000000000006</v>
      </c>
      <c r="E116" s="62"/>
      <c r="F116" s="55"/>
    </row>
    <row r="117" spans="1:6" ht="18.75" customHeight="1" x14ac:dyDescent="0.25">
      <c r="A117" s="49"/>
      <c r="B117" s="40" t="s">
        <v>197</v>
      </c>
      <c r="C117" s="36" t="s">
        <v>55</v>
      </c>
      <c r="D117" s="37">
        <f>D111*2</f>
        <v>710.88</v>
      </c>
      <c r="E117" s="62"/>
      <c r="F117" s="55"/>
    </row>
    <row r="118" spans="1:6" ht="18.75" customHeight="1" x14ac:dyDescent="0.25">
      <c r="A118" s="49"/>
      <c r="B118" s="40" t="s">
        <v>198</v>
      </c>
      <c r="C118" s="36" t="s">
        <v>55</v>
      </c>
      <c r="D118" s="37">
        <f>D117</f>
        <v>710.88</v>
      </c>
      <c r="E118" s="62"/>
      <c r="F118" s="55"/>
    </row>
    <row r="119" spans="1:6" ht="18.75" customHeight="1" x14ac:dyDescent="0.25">
      <c r="A119" s="49"/>
      <c r="B119" s="40" t="s">
        <v>199</v>
      </c>
      <c r="C119" s="54" t="s">
        <v>55</v>
      </c>
      <c r="D119" s="37">
        <f>D111*20</f>
        <v>7108.8</v>
      </c>
      <c r="E119" s="20"/>
      <c r="F119" s="55"/>
    </row>
    <row r="120" spans="1:6" ht="20.25" customHeight="1" x14ac:dyDescent="0.25">
      <c r="A120" s="49"/>
      <c r="B120" s="40" t="s">
        <v>200</v>
      </c>
      <c r="C120" s="54" t="s">
        <v>55</v>
      </c>
      <c r="D120" s="37">
        <f>D111*3</f>
        <v>1066.32</v>
      </c>
      <c r="E120" s="62"/>
      <c r="F120" s="55"/>
    </row>
    <row r="121" spans="1:6" ht="18.75" customHeight="1" x14ac:dyDescent="0.25">
      <c r="A121" s="49"/>
      <c r="B121" s="40" t="s">
        <v>201</v>
      </c>
      <c r="C121" s="54" t="s">
        <v>147</v>
      </c>
      <c r="D121" s="37">
        <f>D111/6</f>
        <v>59.24</v>
      </c>
      <c r="E121" s="62"/>
      <c r="F121" s="55"/>
    </row>
    <row r="122" spans="1:6" ht="18.75" customHeight="1" x14ac:dyDescent="0.25">
      <c r="A122" s="74" t="s">
        <v>202</v>
      </c>
      <c r="B122" s="70" t="s">
        <v>203</v>
      </c>
      <c r="C122" s="75"/>
      <c r="D122" s="76"/>
      <c r="E122" s="86"/>
      <c r="F122" s="77"/>
    </row>
    <row r="123" spans="1:6" ht="30.75" customHeight="1" x14ac:dyDescent="0.25">
      <c r="A123" s="34" t="s">
        <v>204</v>
      </c>
      <c r="B123" s="35" t="s">
        <v>205</v>
      </c>
      <c r="C123" s="36" t="s">
        <v>45</v>
      </c>
      <c r="D123" s="37">
        <v>205</v>
      </c>
      <c r="E123" s="62"/>
      <c r="F123" s="64"/>
    </row>
    <row r="124" spans="1:6" ht="18.75" customHeight="1" x14ac:dyDescent="0.25">
      <c r="A124" s="34"/>
      <c r="B124" s="40" t="s">
        <v>191</v>
      </c>
      <c r="C124" s="36" t="s">
        <v>192</v>
      </c>
      <c r="D124" s="37">
        <f>D123*0.64</f>
        <v>131.19999999999999</v>
      </c>
      <c r="E124" s="62"/>
      <c r="F124" s="55"/>
    </row>
    <row r="125" spans="1:6" ht="18.75" customHeight="1" x14ac:dyDescent="0.25">
      <c r="A125" s="34"/>
      <c r="B125" s="45" t="s">
        <v>206</v>
      </c>
      <c r="C125" s="54" t="s">
        <v>55</v>
      </c>
      <c r="D125" s="37">
        <f>D123*1.35/3</f>
        <v>92.25</v>
      </c>
      <c r="E125" s="62"/>
      <c r="F125" s="55"/>
    </row>
    <row r="126" spans="1:6" ht="18.75" customHeight="1" x14ac:dyDescent="0.25">
      <c r="A126" s="34"/>
      <c r="B126" s="45" t="s">
        <v>207</v>
      </c>
      <c r="C126" s="54" t="s">
        <v>55</v>
      </c>
      <c r="D126" s="37">
        <f>D123*2.9/3</f>
        <v>198.16666666666666</v>
      </c>
      <c r="E126" s="62"/>
      <c r="F126" s="55"/>
    </row>
    <row r="127" spans="1:6" ht="18.75" customHeight="1" x14ac:dyDescent="0.25">
      <c r="A127" s="34"/>
      <c r="B127" s="40" t="s">
        <v>196</v>
      </c>
      <c r="C127" s="54" t="s">
        <v>55</v>
      </c>
      <c r="D127" s="37">
        <f>D123*1.2/30</f>
        <v>8.1999999999999993</v>
      </c>
      <c r="E127" s="62"/>
      <c r="F127" s="55"/>
    </row>
    <row r="128" spans="1:6" ht="18.75" customHeight="1" x14ac:dyDescent="0.25">
      <c r="A128" s="34"/>
      <c r="B128" s="40" t="s">
        <v>197</v>
      </c>
      <c r="C128" s="36" t="s">
        <v>55</v>
      </c>
      <c r="D128" s="37">
        <f>D123*1.8</f>
        <v>369</v>
      </c>
      <c r="E128" s="62"/>
      <c r="F128" s="55"/>
    </row>
    <row r="129" spans="1:6" ht="18.75" customHeight="1" x14ac:dyDescent="0.25">
      <c r="A129" s="34"/>
      <c r="B129" s="40" t="s">
        <v>198</v>
      </c>
      <c r="C129" s="36" t="s">
        <v>55</v>
      </c>
      <c r="D129" s="37">
        <f>D128</f>
        <v>369</v>
      </c>
      <c r="E129" s="20"/>
      <c r="F129" s="55"/>
    </row>
    <row r="130" spans="1:6" ht="22.5" customHeight="1" x14ac:dyDescent="0.25">
      <c r="A130" s="34"/>
      <c r="B130" s="40" t="s">
        <v>199</v>
      </c>
      <c r="C130" s="54" t="s">
        <v>55</v>
      </c>
      <c r="D130" s="37">
        <f>D123*37</f>
        <v>7585</v>
      </c>
      <c r="E130" s="62"/>
      <c r="F130" s="55"/>
    </row>
    <row r="131" spans="1:6" ht="18.75" customHeight="1" x14ac:dyDescent="0.25">
      <c r="A131" s="34"/>
      <c r="B131" s="40" t="s">
        <v>200</v>
      </c>
      <c r="C131" s="54" t="s">
        <v>55</v>
      </c>
      <c r="D131" s="37">
        <f>D123*1.1</f>
        <v>225.50000000000003</v>
      </c>
      <c r="E131" s="62"/>
      <c r="F131" s="55"/>
    </row>
    <row r="132" spans="1:6" ht="18.75" customHeight="1" x14ac:dyDescent="0.25">
      <c r="A132" s="34"/>
      <c r="B132" s="40" t="s">
        <v>201</v>
      </c>
      <c r="C132" s="54" t="s">
        <v>147</v>
      </c>
      <c r="D132" s="37">
        <f>D123/6</f>
        <v>34.166666666666664</v>
      </c>
      <c r="E132" s="62"/>
      <c r="F132" s="55"/>
    </row>
    <row r="133" spans="1:6" ht="18.75" customHeight="1" x14ac:dyDescent="0.25">
      <c r="A133" s="34"/>
      <c r="B133" s="40" t="s">
        <v>208</v>
      </c>
      <c r="C133" s="36" t="s">
        <v>192</v>
      </c>
      <c r="D133" s="37">
        <v>58</v>
      </c>
      <c r="E133" s="62"/>
      <c r="F133" s="55"/>
    </row>
    <row r="134" spans="1:6" ht="18.75" customHeight="1" x14ac:dyDescent="0.25">
      <c r="A134" s="34" t="s">
        <v>209</v>
      </c>
      <c r="B134" s="35" t="s">
        <v>210</v>
      </c>
      <c r="C134" s="36" t="s">
        <v>45</v>
      </c>
      <c r="D134" s="37">
        <v>16</v>
      </c>
      <c r="E134" s="62"/>
      <c r="F134" s="55"/>
    </row>
    <row r="135" spans="1:6" ht="18.75" customHeight="1" x14ac:dyDescent="0.25">
      <c r="A135" s="34"/>
      <c r="B135" s="40" t="s">
        <v>211</v>
      </c>
      <c r="C135" s="36" t="s">
        <v>192</v>
      </c>
      <c r="D135" s="37">
        <f>D134*0.35</f>
        <v>5.6</v>
      </c>
      <c r="E135" s="62"/>
      <c r="F135" s="55"/>
    </row>
    <row r="136" spans="1:6" ht="30.75" customHeight="1" x14ac:dyDescent="0.25">
      <c r="A136" s="34"/>
      <c r="B136" s="40" t="s">
        <v>212</v>
      </c>
      <c r="C136" s="36" t="s">
        <v>55</v>
      </c>
      <c r="D136" s="37">
        <v>1</v>
      </c>
      <c r="E136" s="62"/>
      <c r="F136" s="55"/>
    </row>
    <row r="137" spans="1:6" ht="20.25" customHeight="1" x14ac:dyDescent="0.25">
      <c r="A137" s="74" t="s">
        <v>213</v>
      </c>
      <c r="B137" s="83" t="s">
        <v>214</v>
      </c>
      <c r="C137" s="84"/>
      <c r="D137" s="76"/>
      <c r="E137" s="86"/>
      <c r="F137" s="85"/>
    </row>
    <row r="138" spans="1:6" ht="18.75" customHeight="1" x14ac:dyDescent="0.25">
      <c r="A138" s="34" t="s">
        <v>215</v>
      </c>
      <c r="B138" s="35" t="s">
        <v>216</v>
      </c>
      <c r="C138" s="36" t="s">
        <v>45</v>
      </c>
      <c r="D138" s="37">
        <v>154</v>
      </c>
      <c r="E138" s="62"/>
      <c r="F138" s="55"/>
    </row>
    <row r="139" spans="1:6" ht="18.75" customHeight="1" x14ac:dyDescent="0.25">
      <c r="A139" s="49"/>
      <c r="B139" s="40" t="s">
        <v>217</v>
      </c>
      <c r="C139" s="36" t="s">
        <v>192</v>
      </c>
      <c r="D139" s="37">
        <v>64</v>
      </c>
      <c r="E139" s="62"/>
      <c r="F139" s="55"/>
    </row>
    <row r="140" spans="1:6" ht="18.75" customHeight="1" x14ac:dyDescent="0.25">
      <c r="A140" s="49"/>
      <c r="B140" s="40" t="s">
        <v>218</v>
      </c>
      <c r="C140" s="54" t="s">
        <v>55</v>
      </c>
      <c r="D140" s="37">
        <v>56</v>
      </c>
      <c r="E140" s="62"/>
      <c r="F140" s="56"/>
    </row>
    <row r="141" spans="1:6" ht="18.75" customHeight="1" x14ac:dyDescent="0.25">
      <c r="A141" s="49"/>
      <c r="B141" s="40" t="s">
        <v>219</v>
      </c>
      <c r="C141" s="54" t="s">
        <v>55</v>
      </c>
      <c r="D141" s="37">
        <v>200</v>
      </c>
      <c r="E141" s="62"/>
      <c r="F141" s="56"/>
    </row>
    <row r="142" spans="1:6" ht="18.75" customHeight="1" x14ac:dyDescent="0.25">
      <c r="A142" s="49"/>
      <c r="B142" s="40" t="s">
        <v>220</v>
      </c>
      <c r="C142" s="54" t="s">
        <v>55</v>
      </c>
      <c r="D142" s="37">
        <v>400</v>
      </c>
      <c r="E142" s="62"/>
      <c r="F142" s="56"/>
    </row>
    <row r="143" spans="1:6" ht="18.75" customHeight="1" x14ac:dyDescent="0.25">
      <c r="A143" s="49"/>
      <c r="B143" s="40" t="s">
        <v>221</v>
      </c>
      <c r="C143" s="54" t="s">
        <v>55</v>
      </c>
      <c r="D143" s="37">
        <v>800</v>
      </c>
      <c r="E143" s="62"/>
      <c r="F143" s="56"/>
    </row>
    <row r="144" spans="1:6" ht="18.75" customHeight="1" x14ac:dyDescent="0.25">
      <c r="A144" s="49"/>
      <c r="B144" s="40" t="s">
        <v>222</v>
      </c>
      <c r="C144" s="54" t="s">
        <v>55</v>
      </c>
      <c r="D144" s="37">
        <v>1</v>
      </c>
      <c r="E144" s="62"/>
      <c r="F144" s="56"/>
    </row>
    <row r="145" spans="1:6" ht="18.75" customHeight="1" x14ac:dyDescent="0.25">
      <c r="A145" s="49"/>
      <c r="B145" s="40" t="s">
        <v>223</v>
      </c>
      <c r="C145" s="54" t="s">
        <v>55</v>
      </c>
      <c r="D145" s="37">
        <v>1</v>
      </c>
      <c r="E145" s="62"/>
      <c r="F145" s="56"/>
    </row>
    <row r="146" spans="1:6" ht="18.75" customHeight="1" x14ac:dyDescent="0.25">
      <c r="A146" s="49"/>
      <c r="B146" s="40" t="s">
        <v>224</v>
      </c>
      <c r="C146" s="54" t="s">
        <v>55</v>
      </c>
      <c r="D146" s="37">
        <v>3</v>
      </c>
      <c r="E146" s="62"/>
      <c r="F146" s="56"/>
    </row>
    <row r="147" spans="1:6" ht="18.75" customHeight="1" x14ac:dyDescent="0.25">
      <c r="A147" s="49"/>
      <c r="B147" s="40" t="s">
        <v>225</v>
      </c>
      <c r="C147" s="54" t="s">
        <v>55</v>
      </c>
      <c r="D147" s="37">
        <v>32</v>
      </c>
      <c r="E147" s="62"/>
      <c r="F147" s="56"/>
    </row>
    <row r="148" spans="1:6" ht="20.25" customHeight="1" x14ac:dyDescent="0.25">
      <c r="A148" s="74" t="s">
        <v>226</v>
      </c>
      <c r="B148" s="83" t="s">
        <v>227</v>
      </c>
      <c r="C148" s="84"/>
      <c r="D148" s="76"/>
      <c r="E148" s="86"/>
      <c r="F148" s="85"/>
    </row>
    <row r="149" spans="1:6" ht="18.75" customHeight="1" x14ac:dyDescent="0.25">
      <c r="A149" s="34" t="s">
        <v>228</v>
      </c>
      <c r="B149" s="35" t="s">
        <v>229</v>
      </c>
      <c r="C149" s="36" t="s">
        <v>45</v>
      </c>
      <c r="D149" s="37">
        <v>154</v>
      </c>
      <c r="E149" s="62"/>
      <c r="F149" s="55"/>
    </row>
    <row r="150" spans="1:6" ht="18.75" customHeight="1" x14ac:dyDescent="0.25">
      <c r="A150" s="34"/>
      <c r="B150" s="40" t="s">
        <v>230</v>
      </c>
      <c r="C150" s="54" t="s">
        <v>55</v>
      </c>
      <c r="D150" s="37">
        <v>5</v>
      </c>
      <c r="E150" s="62"/>
      <c r="F150" s="56"/>
    </row>
    <row r="151" spans="1:6" ht="18.75" customHeight="1" x14ac:dyDescent="0.25">
      <c r="A151" s="34"/>
      <c r="B151" s="40" t="s">
        <v>231</v>
      </c>
      <c r="C151" s="54" t="s">
        <v>55</v>
      </c>
      <c r="D151" s="37">
        <v>7</v>
      </c>
      <c r="E151" s="62"/>
      <c r="F151" s="56"/>
    </row>
    <row r="152" spans="1:6" ht="18.75" customHeight="1" x14ac:dyDescent="0.25">
      <c r="A152" s="34" t="s">
        <v>232</v>
      </c>
      <c r="B152" s="35" t="s">
        <v>233</v>
      </c>
      <c r="C152" s="36" t="s">
        <v>45</v>
      </c>
      <c r="D152" s="37">
        <v>154</v>
      </c>
      <c r="E152" s="62"/>
      <c r="F152" s="55"/>
    </row>
    <row r="153" spans="1:6" ht="33" customHeight="1" x14ac:dyDescent="0.25">
      <c r="A153" s="34"/>
      <c r="B153" s="40" t="s">
        <v>234</v>
      </c>
      <c r="C153" s="54" t="s">
        <v>55</v>
      </c>
      <c r="D153" s="37">
        <v>17</v>
      </c>
      <c r="E153" s="62"/>
      <c r="F153" s="56"/>
    </row>
    <row r="154" spans="1:6" ht="17.25" customHeight="1" x14ac:dyDescent="0.25">
      <c r="A154" s="87" t="s">
        <v>235</v>
      </c>
      <c r="B154" s="88" t="s">
        <v>236</v>
      </c>
      <c r="C154" s="89"/>
      <c r="D154" s="90"/>
      <c r="E154" s="91"/>
      <c r="F154" s="89"/>
    </row>
    <row r="155" spans="1:6" ht="34.5" customHeight="1" x14ac:dyDescent="0.25">
      <c r="A155" s="34" t="s">
        <v>237</v>
      </c>
      <c r="B155" s="35" t="s">
        <v>238</v>
      </c>
      <c r="C155" s="36" t="s">
        <v>45</v>
      </c>
      <c r="D155" s="37">
        <v>532</v>
      </c>
      <c r="E155" s="62"/>
      <c r="F155" s="55"/>
    </row>
    <row r="156" spans="1:6" ht="18.75" customHeight="1" x14ac:dyDescent="0.25">
      <c r="A156" s="34"/>
      <c r="B156" s="40" t="s">
        <v>239</v>
      </c>
      <c r="C156" s="36" t="s">
        <v>55</v>
      </c>
      <c r="D156" s="37">
        <v>10</v>
      </c>
      <c r="E156" s="62"/>
      <c r="F156" s="55"/>
    </row>
    <row r="157" spans="1:6" ht="18.75" customHeight="1" x14ac:dyDescent="0.25">
      <c r="A157" s="34"/>
      <c r="B157" s="40" t="s">
        <v>231</v>
      </c>
      <c r="C157" s="54" t="s">
        <v>55</v>
      </c>
      <c r="D157" s="37">
        <v>30</v>
      </c>
      <c r="E157" s="62"/>
      <c r="F157" s="56"/>
    </row>
    <row r="158" spans="1:6" ht="18.75" customHeight="1" x14ac:dyDescent="0.25">
      <c r="A158" s="34"/>
      <c r="B158" s="40" t="s">
        <v>230</v>
      </c>
      <c r="C158" s="54" t="s">
        <v>55</v>
      </c>
      <c r="D158" s="37">
        <v>8</v>
      </c>
      <c r="E158" s="62"/>
      <c r="F158" s="56"/>
    </row>
    <row r="159" spans="1:6" ht="18.75" customHeight="1" x14ac:dyDescent="0.25">
      <c r="A159" s="34" t="s">
        <v>240</v>
      </c>
      <c r="B159" s="35" t="s">
        <v>241</v>
      </c>
      <c r="C159" s="36" t="s">
        <v>45</v>
      </c>
      <c r="D159" s="37">
        <f>D155</f>
        <v>532</v>
      </c>
      <c r="E159" s="62"/>
      <c r="F159" s="55"/>
    </row>
    <row r="160" spans="1:6" ht="33" customHeight="1" x14ac:dyDescent="0.25">
      <c r="A160" s="34"/>
      <c r="B160" s="40" t="s">
        <v>234</v>
      </c>
      <c r="C160" s="54" t="s">
        <v>55</v>
      </c>
      <c r="D160" s="37">
        <v>65</v>
      </c>
      <c r="E160" s="62"/>
      <c r="F160" s="56"/>
    </row>
    <row r="161" spans="1:6" ht="18.75" customHeight="1" x14ac:dyDescent="0.25">
      <c r="A161" s="34"/>
      <c r="B161" s="40" t="s">
        <v>242</v>
      </c>
      <c r="C161" s="36" t="s">
        <v>55</v>
      </c>
      <c r="D161" s="37">
        <v>7</v>
      </c>
      <c r="E161" s="62"/>
      <c r="F161" s="55"/>
    </row>
    <row r="162" spans="1:6" ht="18.75" customHeight="1" x14ac:dyDescent="0.25">
      <c r="A162" s="34"/>
      <c r="B162" s="40" t="s">
        <v>243</v>
      </c>
      <c r="C162" s="36" t="s">
        <v>55</v>
      </c>
      <c r="D162" s="37">
        <v>7</v>
      </c>
      <c r="E162" s="62"/>
      <c r="F162" s="55"/>
    </row>
    <row r="163" spans="1:6" ht="18.75" customHeight="1" x14ac:dyDescent="0.25">
      <c r="A163" s="34" t="s">
        <v>244</v>
      </c>
      <c r="B163" s="35" t="s">
        <v>245</v>
      </c>
      <c r="C163" s="36" t="s">
        <v>45</v>
      </c>
      <c r="D163" s="37">
        <v>532</v>
      </c>
      <c r="E163" s="62"/>
      <c r="F163" s="55"/>
    </row>
    <row r="164" spans="1:6" ht="18.75" customHeight="1" x14ac:dyDescent="0.25">
      <c r="A164" s="34"/>
      <c r="B164" s="40" t="s">
        <v>246</v>
      </c>
      <c r="C164" s="36" t="s">
        <v>117</v>
      </c>
      <c r="D164" s="37">
        <f>D163*0.2</f>
        <v>106.4</v>
      </c>
      <c r="E164" s="20"/>
      <c r="F164" s="55"/>
    </row>
    <row r="165" spans="1:6" ht="18.75" customHeight="1" x14ac:dyDescent="0.25">
      <c r="A165" s="92" t="s">
        <v>247</v>
      </c>
      <c r="B165" s="93" t="s">
        <v>248</v>
      </c>
      <c r="C165" s="94"/>
      <c r="D165" s="95"/>
      <c r="E165" s="96"/>
      <c r="F165" s="89"/>
    </row>
    <row r="166" spans="1:6" ht="36" customHeight="1" x14ac:dyDescent="0.25">
      <c r="A166" s="34" t="s">
        <v>249</v>
      </c>
      <c r="B166" s="35" t="s">
        <v>250</v>
      </c>
      <c r="C166" s="43" t="s">
        <v>133</v>
      </c>
      <c r="D166" s="37">
        <v>150</v>
      </c>
      <c r="E166" s="62"/>
      <c r="F166" s="44"/>
    </row>
    <row r="167" spans="1:6" ht="31.5" customHeight="1" x14ac:dyDescent="0.25">
      <c r="A167" s="34"/>
      <c r="B167" s="45" t="s">
        <v>251</v>
      </c>
      <c r="C167" s="43" t="s">
        <v>55</v>
      </c>
      <c r="D167" s="37">
        <v>75</v>
      </c>
      <c r="E167" s="62"/>
      <c r="F167" s="44"/>
    </row>
    <row r="168" spans="1:6" ht="18.75" customHeight="1" x14ac:dyDescent="0.25">
      <c r="A168" s="34"/>
      <c r="B168" s="45" t="s">
        <v>252</v>
      </c>
      <c r="C168" s="43" t="s">
        <v>55</v>
      </c>
      <c r="D168" s="37">
        <v>200</v>
      </c>
      <c r="E168" s="62"/>
      <c r="F168" s="44"/>
    </row>
    <row r="169" spans="1:6" ht="18.75" customHeight="1" x14ac:dyDescent="0.25">
      <c r="A169" s="34"/>
      <c r="B169" s="45" t="s">
        <v>253</v>
      </c>
      <c r="C169" s="43" t="s">
        <v>55</v>
      </c>
      <c r="D169" s="37">
        <v>200</v>
      </c>
      <c r="E169" s="62"/>
      <c r="F169" s="44"/>
    </row>
    <row r="170" spans="1:6" ht="18.75" customHeight="1" x14ac:dyDescent="0.25">
      <c r="A170" s="34" t="s">
        <v>254</v>
      </c>
      <c r="B170" s="35" t="s">
        <v>255</v>
      </c>
      <c r="C170" s="43" t="s">
        <v>55</v>
      </c>
      <c r="D170" s="37">
        <v>8</v>
      </c>
      <c r="E170" s="62"/>
      <c r="F170" s="44"/>
    </row>
    <row r="171" spans="1:6" ht="34.5" customHeight="1" x14ac:dyDescent="0.25">
      <c r="A171" s="34"/>
      <c r="B171" s="45" t="s">
        <v>256</v>
      </c>
      <c r="C171" s="43" t="s">
        <v>55</v>
      </c>
      <c r="D171" s="37">
        <v>8</v>
      </c>
      <c r="E171" s="62"/>
      <c r="F171" s="44"/>
    </row>
    <row r="172" spans="1:6" ht="34.5" customHeight="1" x14ac:dyDescent="0.25">
      <c r="A172" s="34"/>
      <c r="B172" s="45" t="s">
        <v>257</v>
      </c>
      <c r="C172" s="43" t="s">
        <v>55</v>
      </c>
      <c r="D172" s="37">
        <v>8</v>
      </c>
      <c r="E172" s="62"/>
      <c r="F172" s="44"/>
    </row>
    <row r="173" spans="1:6" ht="36.75" customHeight="1" x14ac:dyDescent="0.25">
      <c r="A173" s="34"/>
      <c r="B173" s="45" t="s">
        <v>258</v>
      </c>
      <c r="C173" s="43" t="s">
        <v>55</v>
      </c>
      <c r="D173" s="37">
        <v>16</v>
      </c>
      <c r="E173" s="62"/>
      <c r="F173" s="44"/>
    </row>
    <row r="174" spans="1:6" ht="18.75" customHeight="1" x14ac:dyDescent="0.25">
      <c r="A174" s="92" t="s">
        <v>259</v>
      </c>
      <c r="B174" s="93" t="s">
        <v>260</v>
      </c>
      <c r="C174" s="94"/>
      <c r="D174" s="95"/>
      <c r="E174" s="96"/>
      <c r="F174" s="89"/>
    </row>
    <row r="175" spans="1:6" ht="34.5" customHeight="1" x14ac:dyDescent="0.25">
      <c r="A175" s="34" t="s">
        <v>261</v>
      </c>
      <c r="B175" s="35" t="s">
        <v>262</v>
      </c>
      <c r="C175" s="43" t="s">
        <v>45</v>
      </c>
      <c r="D175" s="37">
        <v>163.5</v>
      </c>
      <c r="E175" s="62"/>
      <c r="F175" s="56"/>
    </row>
    <row r="176" spans="1:6" ht="18.75" customHeight="1" x14ac:dyDescent="0.25">
      <c r="A176" s="49"/>
      <c r="B176" s="40" t="s">
        <v>263</v>
      </c>
      <c r="C176" s="43" t="s">
        <v>45</v>
      </c>
      <c r="D176" s="37">
        <f>D175*1.1</f>
        <v>179.85000000000002</v>
      </c>
      <c r="E176" s="62"/>
      <c r="F176" s="56"/>
    </row>
    <row r="177" spans="1:6" ht="18.75" customHeight="1" x14ac:dyDescent="0.25">
      <c r="A177" s="49"/>
      <c r="B177" s="40" t="s">
        <v>264</v>
      </c>
      <c r="C177" s="43" t="s">
        <v>55</v>
      </c>
      <c r="D177" s="37">
        <f>D176*1.5*8/25</f>
        <v>86.328000000000017</v>
      </c>
      <c r="E177" s="62"/>
      <c r="F177" s="56"/>
    </row>
    <row r="178" spans="1:6" ht="18.75" customHeight="1" x14ac:dyDescent="0.25">
      <c r="A178" s="49"/>
      <c r="B178" s="40" t="s">
        <v>123</v>
      </c>
      <c r="C178" s="43" t="s">
        <v>55</v>
      </c>
      <c r="D178" s="37">
        <f>D175*0.02</f>
        <v>3.27</v>
      </c>
      <c r="E178" s="62"/>
      <c r="F178" s="56"/>
    </row>
    <row r="179" spans="1:6" ht="15.75" customHeight="1" x14ac:dyDescent="0.25">
      <c r="A179" s="49"/>
      <c r="B179" s="65" t="s">
        <v>265</v>
      </c>
      <c r="C179" s="43" t="s">
        <v>55</v>
      </c>
      <c r="D179" s="37">
        <v>16</v>
      </c>
      <c r="E179" s="62"/>
      <c r="F179" s="56"/>
    </row>
    <row r="180" spans="1:6" ht="18.75" customHeight="1" x14ac:dyDescent="0.25">
      <c r="A180" s="49"/>
      <c r="B180" s="65" t="s">
        <v>266</v>
      </c>
      <c r="C180" s="43" t="s">
        <v>55</v>
      </c>
      <c r="D180" s="37">
        <v>32</v>
      </c>
      <c r="E180" s="62"/>
      <c r="F180" s="56"/>
    </row>
    <row r="181" spans="1:6" ht="18.75" customHeight="1" x14ac:dyDescent="0.25">
      <c r="A181" s="49"/>
      <c r="B181" s="40" t="s">
        <v>267</v>
      </c>
      <c r="C181" s="43" t="s">
        <v>147</v>
      </c>
      <c r="D181" s="37">
        <v>2</v>
      </c>
      <c r="E181" s="62"/>
      <c r="F181" s="56"/>
    </row>
    <row r="182" spans="1:6" ht="18.75" customHeight="1" x14ac:dyDescent="0.25">
      <c r="A182" s="49"/>
      <c r="B182" s="40" t="s">
        <v>268</v>
      </c>
      <c r="C182" s="43" t="s">
        <v>147</v>
      </c>
      <c r="D182" s="37">
        <v>2</v>
      </c>
      <c r="E182" s="62"/>
      <c r="F182" s="56"/>
    </row>
    <row r="183" spans="1:6" ht="18.75" customHeight="1" x14ac:dyDescent="0.25">
      <c r="A183" s="49"/>
      <c r="B183" s="40" t="s">
        <v>269</v>
      </c>
      <c r="C183" s="43" t="s">
        <v>55</v>
      </c>
      <c r="D183" s="37">
        <v>3</v>
      </c>
      <c r="E183" s="62"/>
      <c r="F183" s="56"/>
    </row>
    <row r="184" spans="1:6" ht="18.75" customHeight="1" x14ac:dyDescent="0.25">
      <c r="A184" s="49"/>
      <c r="B184" s="40" t="s">
        <v>270</v>
      </c>
      <c r="C184" s="36" t="s">
        <v>55</v>
      </c>
      <c r="D184" s="37">
        <v>3</v>
      </c>
      <c r="E184" s="62"/>
      <c r="F184" s="56"/>
    </row>
    <row r="185" spans="1:6" ht="18.75" customHeight="1" x14ac:dyDescent="0.25">
      <c r="A185" s="49"/>
      <c r="B185" s="40" t="s">
        <v>125</v>
      </c>
      <c r="C185" s="36" t="s">
        <v>55</v>
      </c>
      <c r="D185" s="37">
        <v>3</v>
      </c>
      <c r="E185" s="62"/>
      <c r="F185" s="56"/>
    </row>
    <row r="186" spans="1:6" ht="18.75" customHeight="1" x14ac:dyDescent="0.25">
      <c r="A186" s="49"/>
      <c r="B186" s="40" t="s">
        <v>271</v>
      </c>
      <c r="C186" s="43" t="s">
        <v>114</v>
      </c>
      <c r="D186" s="37">
        <v>212</v>
      </c>
      <c r="E186" s="62"/>
      <c r="F186" s="56"/>
    </row>
    <row r="187" spans="1:6" ht="18.75" customHeight="1" x14ac:dyDescent="0.25">
      <c r="A187" s="92" t="s">
        <v>272</v>
      </c>
      <c r="B187" s="93" t="s">
        <v>273</v>
      </c>
      <c r="C187" s="94"/>
      <c r="D187" s="95"/>
      <c r="E187" s="96"/>
      <c r="F187" s="89"/>
    </row>
    <row r="188" spans="1:6" ht="15.75" customHeight="1" x14ac:dyDescent="0.25">
      <c r="A188" s="34" t="s">
        <v>274</v>
      </c>
      <c r="B188" s="35" t="s">
        <v>275</v>
      </c>
      <c r="C188" s="43" t="s">
        <v>45</v>
      </c>
      <c r="D188" s="37">
        <v>62</v>
      </c>
      <c r="E188" s="62"/>
      <c r="F188" s="56"/>
    </row>
    <row r="189" spans="1:6" ht="15.75" customHeight="1" x14ac:dyDescent="0.25">
      <c r="A189" s="34"/>
      <c r="B189" s="40" t="s">
        <v>276</v>
      </c>
      <c r="C189" s="43" t="s">
        <v>45</v>
      </c>
      <c r="D189" s="37">
        <f>D188*1.2</f>
        <v>74.399999999999991</v>
      </c>
      <c r="E189" s="62"/>
      <c r="F189" s="56"/>
    </row>
    <row r="190" spans="1:6" ht="15.75" customHeight="1" x14ac:dyDescent="0.25">
      <c r="A190" s="34"/>
      <c r="B190" s="40" t="s">
        <v>264</v>
      </c>
      <c r="C190" s="43" t="s">
        <v>55</v>
      </c>
      <c r="D190" s="37">
        <f>D188*1.5*8/25</f>
        <v>29.76</v>
      </c>
      <c r="E190" s="62"/>
      <c r="F190" s="56"/>
    </row>
    <row r="191" spans="1:6" ht="15.75" customHeight="1" x14ac:dyDescent="0.25">
      <c r="A191" s="34"/>
      <c r="B191" s="40" t="s">
        <v>267</v>
      </c>
      <c r="C191" s="43" t="s">
        <v>147</v>
      </c>
      <c r="D191" s="37">
        <v>2</v>
      </c>
      <c r="E191" s="62"/>
      <c r="F191" s="56"/>
    </row>
    <row r="192" spans="1:6" ht="15.75" customHeight="1" x14ac:dyDescent="0.25">
      <c r="A192" s="34"/>
      <c r="B192" s="40" t="s">
        <v>268</v>
      </c>
      <c r="C192" s="43" t="s">
        <v>147</v>
      </c>
      <c r="D192" s="37">
        <v>2</v>
      </c>
      <c r="E192" s="62"/>
      <c r="F192" s="56"/>
    </row>
    <row r="193" spans="1:6" ht="15.75" customHeight="1" x14ac:dyDescent="0.25">
      <c r="A193" s="34"/>
      <c r="B193" s="40" t="s">
        <v>277</v>
      </c>
      <c r="C193" s="43" t="s">
        <v>114</v>
      </c>
      <c r="D193" s="37">
        <f>D188*0.6</f>
        <v>37.199999999999996</v>
      </c>
      <c r="E193" s="62"/>
      <c r="F193" s="56"/>
    </row>
    <row r="194" spans="1:6" ht="15.75" customHeight="1" x14ac:dyDescent="0.25">
      <c r="A194" s="34" t="s">
        <v>278</v>
      </c>
      <c r="B194" s="35" t="s">
        <v>279</v>
      </c>
      <c r="C194" s="43" t="s">
        <v>133</v>
      </c>
      <c r="D194" s="37">
        <v>136</v>
      </c>
      <c r="E194" s="62"/>
      <c r="F194" s="56"/>
    </row>
    <row r="195" spans="1:6" ht="14.25" customHeight="1" x14ac:dyDescent="0.25">
      <c r="A195" s="34"/>
      <c r="B195" s="40" t="s">
        <v>276</v>
      </c>
      <c r="C195" s="43" t="s">
        <v>45</v>
      </c>
      <c r="D195" s="37">
        <f>D194*0.15*1.2</f>
        <v>24.479999999999997</v>
      </c>
      <c r="E195" s="62"/>
      <c r="F195" s="56"/>
    </row>
    <row r="196" spans="1:6" ht="18.75" customHeight="1" x14ac:dyDescent="0.25">
      <c r="A196" s="34"/>
      <c r="B196" s="40" t="s">
        <v>264</v>
      </c>
      <c r="C196" s="43" t="s">
        <v>55</v>
      </c>
      <c r="D196" s="37">
        <f>D194*0.15*1.5*8/25</f>
        <v>9.7919999999999998</v>
      </c>
      <c r="E196" s="62"/>
      <c r="F196" s="56"/>
    </row>
    <row r="197" spans="1:6" ht="15.75" customHeight="1" x14ac:dyDescent="0.25">
      <c r="A197" s="34"/>
      <c r="B197" s="40" t="s">
        <v>267</v>
      </c>
      <c r="C197" s="43" t="s">
        <v>147</v>
      </c>
      <c r="D197" s="37">
        <v>2</v>
      </c>
      <c r="E197" s="62"/>
      <c r="F197" s="56"/>
    </row>
    <row r="198" spans="1:6" ht="15.75" customHeight="1" x14ac:dyDescent="0.25">
      <c r="A198" s="34"/>
      <c r="B198" s="40" t="s">
        <v>268</v>
      </c>
      <c r="C198" s="43" t="s">
        <v>147</v>
      </c>
      <c r="D198" s="37">
        <v>2</v>
      </c>
      <c r="E198" s="62"/>
      <c r="F198" s="56"/>
    </row>
    <row r="199" spans="1:6" ht="18.75" customHeight="1" x14ac:dyDescent="0.25">
      <c r="A199" s="34"/>
      <c r="B199" s="40" t="s">
        <v>277</v>
      </c>
      <c r="C199" s="54" t="s">
        <v>114</v>
      </c>
      <c r="D199" s="37">
        <f>D194*0.6*0.15</f>
        <v>12.239999999999998</v>
      </c>
      <c r="E199" s="62"/>
      <c r="F199" s="56"/>
    </row>
    <row r="200" spans="1:6" ht="18.75" customHeight="1" x14ac:dyDescent="0.25">
      <c r="A200" s="92" t="s">
        <v>280</v>
      </c>
      <c r="B200" s="93" t="s">
        <v>281</v>
      </c>
      <c r="C200" s="94"/>
      <c r="D200" s="95"/>
      <c r="E200" s="96"/>
      <c r="F200" s="89"/>
    </row>
    <row r="201" spans="1:6" ht="15.75" customHeight="1" x14ac:dyDescent="0.25">
      <c r="A201" s="34" t="s">
        <v>282</v>
      </c>
      <c r="B201" s="35" t="s">
        <v>283</v>
      </c>
      <c r="C201" s="43" t="s">
        <v>45</v>
      </c>
      <c r="D201" s="37">
        <v>27.7</v>
      </c>
      <c r="E201" s="62"/>
      <c r="F201" s="56"/>
    </row>
    <row r="202" spans="1:6" ht="30" customHeight="1" x14ac:dyDescent="0.25">
      <c r="A202" s="49"/>
      <c r="B202" s="40" t="s">
        <v>284</v>
      </c>
      <c r="C202" s="54" t="s">
        <v>55</v>
      </c>
      <c r="D202" s="37">
        <v>8</v>
      </c>
      <c r="E202" s="62"/>
      <c r="F202" s="56"/>
    </row>
    <row r="203" spans="1:6" ht="20.25" customHeight="1" x14ac:dyDescent="0.25">
      <c r="A203" s="74" t="s">
        <v>285</v>
      </c>
      <c r="B203" s="83" t="s">
        <v>286</v>
      </c>
      <c r="C203" s="84"/>
      <c r="D203" s="76"/>
      <c r="E203" s="86"/>
      <c r="F203" s="85"/>
    </row>
    <row r="204" spans="1:6" ht="18.75" customHeight="1" x14ac:dyDescent="0.25">
      <c r="A204" s="34" t="s">
        <v>287</v>
      </c>
      <c r="B204" s="35" t="s">
        <v>288</v>
      </c>
      <c r="C204" s="36" t="s">
        <v>45</v>
      </c>
      <c r="D204" s="37">
        <v>154</v>
      </c>
      <c r="E204" s="62"/>
      <c r="F204" s="55"/>
    </row>
    <row r="205" spans="1:6" ht="31.5" customHeight="1" x14ac:dyDescent="0.25">
      <c r="A205" s="34"/>
      <c r="B205" s="40" t="s">
        <v>289</v>
      </c>
      <c r="C205" s="36" t="s">
        <v>55</v>
      </c>
      <c r="D205" s="37">
        <v>4</v>
      </c>
      <c r="E205" s="62"/>
      <c r="F205" s="55"/>
    </row>
    <row r="206" spans="1:6" ht="18.75" customHeight="1" x14ac:dyDescent="0.25">
      <c r="A206" s="34"/>
      <c r="B206" s="40" t="s">
        <v>290</v>
      </c>
      <c r="C206" s="36" t="s">
        <v>55</v>
      </c>
      <c r="D206" s="37">
        <v>5</v>
      </c>
      <c r="E206" s="62"/>
      <c r="F206" s="55"/>
    </row>
    <row r="207" spans="1:6" ht="18.75" customHeight="1" x14ac:dyDescent="0.25">
      <c r="A207" s="34"/>
      <c r="B207" s="40" t="s">
        <v>291</v>
      </c>
      <c r="C207" s="36" t="s">
        <v>55</v>
      </c>
      <c r="D207" s="37">
        <v>4</v>
      </c>
      <c r="E207" s="62"/>
      <c r="F207" s="55"/>
    </row>
    <row r="208" spans="1:6" ht="18.75" customHeight="1" x14ac:dyDescent="0.25">
      <c r="A208" s="34" t="s">
        <v>292</v>
      </c>
      <c r="B208" s="35" t="s">
        <v>293</v>
      </c>
      <c r="C208" s="36" t="s">
        <v>46</v>
      </c>
      <c r="D208" s="37">
        <v>176</v>
      </c>
      <c r="E208" s="62"/>
      <c r="F208" s="55"/>
    </row>
    <row r="209" spans="1:6" ht="31.5" customHeight="1" x14ac:dyDescent="0.25">
      <c r="A209" s="34"/>
      <c r="B209" s="40" t="s">
        <v>294</v>
      </c>
      <c r="C209" s="36" t="s">
        <v>55</v>
      </c>
      <c r="D209" s="37">
        <v>88</v>
      </c>
      <c r="E209" s="62"/>
      <c r="F209" s="55"/>
    </row>
    <row r="210" spans="1:6" ht="31.5" customHeight="1" x14ac:dyDescent="0.25">
      <c r="A210" s="34"/>
      <c r="B210" s="40" t="s">
        <v>295</v>
      </c>
      <c r="C210" s="36" t="s">
        <v>55</v>
      </c>
      <c r="D210" s="37">
        <v>2</v>
      </c>
      <c r="E210" s="62"/>
      <c r="F210" s="55"/>
    </row>
    <row r="211" spans="1:6" ht="20.25" customHeight="1" x14ac:dyDescent="0.25">
      <c r="A211" s="74" t="s">
        <v>296</v>
      </c>
      <c r="B211" s="83" t="s">
        <v>297</v>
      </c>
      <c r="C211" s="84"/>
      <c r="D211" s="76"/>
      <c r="E211" s="86"/>
      <c r="F211" s="85"/>
    </row>
    <row r="212" spans="1:6" ht="18.75" customHeight="1" x14ac:dyDescent="0.25">
      <c r="A212" s="34" t="s">
        <v>298</v>
      </c>
      <c r="B212" s="35" t="s">
        <v>299</v>
      </c>
      <c r="C212" s="36" t="s">
        <v>45</v>
      </c>
      <c r="D212" s="37">
        <v>384</v>
      </c>
      <c r="E212" s="62"/>
      <c r="F212" s="55"/>
    </row>
    <row r="213" spans="1:6" ht="44.25" customHeight="1" x14ac:dyDescent="0.25">
      <c r="A213" s="34"/>
      <c r="B213" s="40" t="s">
        <v>300</v>
      </c>
      <c r="C213" s="36" t="s">
        <v>301</v>
      </c>
      <c r="D213" s="37">
        <v>17</v>
      </c>
      <c r="E213" s="62"/>
      <c r="F213" s="55"/>
    </row>
    <row r="214" spans="1:6" ht="33" customHeight="1" x14ac:dyDescent="0.25">
      <c r="A214" s="34"/>
      <c r="B214" s="40" t="s">
        <v>302</v>
      </c>
      <c r="C214" s="36" t="s">
        <v>55</v>
      </c>
      <c r="D214" s="37">
        <v>7</v>
      </c>
      <c r="E214" s="62"/>
      <c r="F214" s="55"/>
    </row>
    <row r="215" spans="1:6" ht="18.75" customHeight="1" x14ac:dyDescent="0.25">
      <c r="A215" s="34" t="s">
        <v>303</v>
      </c>
      <c r="B215" s="35" t="s">
        <v>304</v>
      </c>
      <c r="C215" s="36" t="s">
        <v>45</v>
      </c>
      <c r="D215" s="37">
        <v>384</v>
      </c>
      <c r="E215" s="62"/>
      <c r="F215" s="55"/>
    </row>
    <row r="216" spans="1:6" ht="31.5" customHeight="1" x14ac:dyDescent="0.25">
      <c r="A216" s="34"/>
      <c r="B216" s="40" t="s">
        <v>289</v>
      </c>
      <c r="C216" s="36" t="s">
        <v>55</v>
      </c>
      <c r="D216" s="37">
        <v>8</v>
      </c>
      <c r="E216" s="62"/>
      <c r="F216" s="55"/>
    </row>
    <row r="217" spans="1:6" ht="18.75" customHeight="1" x14ac:dyDescent="0.25">
      <c r="A217" s="34"/>
      <c r="B217" s="40" t="s">
        <v>290</v>
      </c>
      <c r="C217" s="36" t="s">
        <v>55</v>
      </c>
      <c r="D217" s="37">
        <v>5</v>
      </c>
      <c r="E217" s="62"/>
      <c r="F217" s="55"/>
    </row>
    <row r="218" spans="1:6" ht="18.75" customHeight="1" x14ac:dyDescent="0.25">
      <c r="A218" s="34"/>
      <c r="B218" s="40" t="s">
        <v>291</v>
      </c>
      <c r="C218" s="36" t="s">
        <v>55</v>
      </c>
      <c r="D218" s="37">
        <v>4</v>
      </c>
      <c r="E218" s="62"/>
      <c r="F218" s="55"/>
    </row>
    <row r="219" spans="1:6" ht="30.75" customHeight="1" x14ac:dyDescent="0.25">
      <c r="A219" s="34" t="s">
        <v>305</v>
      </c>
      <c r="B219" s="35" t="s">
        <v>306</v>
      </c>
      <c r="C219" s="36" t="s">
        <v>45</v>
      </c>
      <c r="D219" s="37">
        <v>206</v>
      </c>
      <c r="E219" s="62"/>
      <c r="F219" s="55"/>
    </row>
    <row r="220" spans="1:6" ht="44.25" customHeight="1" x14ac:dyDescent="0.25">
      <c r="A220" s="34"/>
      <c r="B220" s="40" t="s">
        <v>307</v>
      </c>
      <c r="C220" s="36" t="s">
        <v>301</v>
      </c>
      <c r="D220" s="37">
        <v>24</v>
      </c>
      <c r="E220" s="62"/>
      <c r="F220" s="55"/>
    </row>
    <row r="221" spans="1:6" ht="33" customHeight="1" x14ac:dyDescent="0.25">
      <c r="A221" s="34"/>
      <c r="B221" s="40" t="s">
        <v>302</v>
      </c>
      <c r="C221" s="36" t="s">
        <v>55</v>
      </c>
      <c r="D221" s="37">
        <v>3</v>
      </c>
      <c r="E221" s="62"/>
      <c r="F221" s="55"/>
    </row>
    <row r="222" spans="1:6" ht="20.25" customHeight="1" x14ac:dyDescent="0.25">
      <c r="A222" s="74" t="s">
        <v>308</v>
      </c>
      <c r="B222" s="83" t="s">
        <v>309</v>
      </c>
      <c r="C222" s="84"/>
      <c r="D222" s="76"/>
      <c r="E222" s="86"/>
      <c r="F222" s="85"/>
    </row>
    <row r="223" spans="1:6" ht="18.75" customHeight="1" x14ac:dyDescent="0.25">
      <c r="A223" s="34" t="s">
        <v>310</v>
      </c>
      <c r="B223" s="35" t="s">
        <v>311</v>
      </c>
      <c r="C223" s="36" t="s">
        <v>45</v>
      </c>
      <c r="D223" s="37">
        <v>120</v>
      </c>
      <c r="E223" s="62"/>
      <c r="F223" s="55"/>
    </row>
    <row r="224" spans="1:6" ht="44.25" customHeight="1" x14ac:dyDescent="0.25">
      <c r="A224" s="49"/>
      <c r="B224" s="40" t="s">
        <v>312</v>
      </c>
      <c r="C224" s="36" t="s">
        <v>45</v>
      </c>
      <c r="D224" s="37">
        <v>120</v>
      </c>
      <c r="E224" s="62"/>
      <c r="F224" s="55"/>
    </row>
    <row r="225" spans="1:6" ht="32.25" customHeight="1" x14ac:dyDescent="0.25">
      <c r="A225" s="49"/>
      <c r="B225" s="40" t="s">
        <v>313</v>
      </c>
      <c r="C225" s="36" t="s">
        <v>55</v>
      </c>
      <c r="D225" s="37">
        <v>3</v>
      </c>
      <c r="E225" s="62"/>
      <c r="F225" s="55"/>
    </row>
    <row r="226" spans="1:6" ht="35.25" customHeight="1" x14ac:dyDescent="0.25">
      <c r="A226" s="49"/>
      <c r="B226" s="40" t="s">
        <v>314</v>
      </c>
      <c r="C226" s="36" t="s">
        <v>55</v>
      </c>
      <c r="D226" s="37">
        <v>4</v>
      </c>
      <c r="E226" s="62"/>
      <c r="F226" s="55"/>
    </row>
    <row r="227" spans="1:6" ht="20.25" customHeight="1" x14ac:dyDescent="0.25">
      <c r="A227" s="74" t="s">
        <v>315</v>
      </c>
      <c r="B227" s="83" t="s">
        <v>316</v>
      </c>
      <c r="C227" s="84"/>
      <c r="D227" s="76"/>
      <c r="E227" s="86"/>
      <c r="F227" s="85"/>
    </row>
    <row r="228" spans="1:6" ht="18.75" customHeight="1" x14ac:dyDescent="0.25">
      <c r="A228" s="34" t="s">
        <v>317</v>
      </c>
      <c r="B228" s="35" t="s">
        <v>318</v>
      </c>
      <c r="C228" s="36" t="s">
        <v>55</v>
      </c>
      <c r="D228" s="37">
        <v>16</v>
      </c>
      <c r="E228" s="62"/>
      <c r="F228" s="55"/>
    </row>
    <row r="229" spans="1:6" ht="33.75" customHeight="1" x14ac:dyDescent="0.25">
      <c r="A229" s="49"/>
      <c r="B229" s="40" t="s">
        <v>319</v>
      </c>
      <c r="C229" s="36" t="s">
        <v>55</v>
      </c>
      <c r="D229" s="37">
        <v>16</v>
      </c>
      <c r="E229" s="62"/>
      <c r="F229" s="55"/>
    </row>
    <row r="230" spans="1:6" ht="17.25" customHeight="1" x14ac:dyDescent="0.25">
      <c r="A230" s="49"/>
      <c r="B230" s="40" t="s">
        <v>320</v>
      </c>
      <c r="C230" s="43" t="s">
        <v>55</v>
      </c>
      <c r="D230" s="37">
        <f>D225</f>
        <v>3</v>
      </c>
      <c r="E230" s="20"/>
      <c r="F230" s="44"/>
    </row>
    <row r="231" spans="1:6" ht="18.75" customHeight="1" x14ac:dyDescent="0.25">
      <c r="A231" s="49"/>
      <c r="B231" s="40" t="s">
        <v>321</v>
      </c>
      <c r="C231" s="54" t="s">
        <v>55</v>
      </c>
      <c r="D231" s="37">
        <v>16</v>
      </c>
      <c r="E231" s="62"/>
      <c r="F231" s="44"/>
    </row>
    <row r="232" spans="1:6" ht="20.25" customHeight="1" x14ac:dyDescent="0.25">
      <c r="A232" s="49"/>
      <c r="B232" s="40" t="s">
        <v>322</v>
      </c>
      <c r="C232" s="43" t="s">
        <v>55</v>
      </c>
      <c r="D232" s="37">
        <f>D225</f>
        <v>3</v>
      </c>
      <c r="E232" s="62"/>
      <c r="F232" s="44"/>
    </row>
    <row r="233" spans="1:6" ht="20.25" customHeight="1" x14ac:dyDescent="0.25">
      <c r="A233" s="74" t="s">
        <v>323</v>
      </c>
      <c r="B233" s="83" t="s">
        <v>324</v>
      </c>
      <c r="C233" s="84"/>
      <c r="D233" s="76"/>
      <c r="E233" s="86"/>
      <c r="F233" s="85"/>
    </row>
    <row r="234" spans="1:6" ht="18.75" customHeight="1" x14ac:dyDescent="0.25">
      <c r="A234" s="34" t="s">
        <v>325</v>
      </c>
      <c r="B234" s="35" t="s">
        <v>326</v>
      </c>
      <c r="C234" s="36" t="s">
        <v>46</v>
      </c>
      <c r="D234" s="37">
        <v>171</v>
      </c>
      <c r="E234" s="62"/>
      <c r="F234" s="55"/>
    </row>
    <row r="235" spans="1:6" ht="32.25" customHeight="1" x14ac:dyDescent="0.25">
      <c r="A235" s="49"/>
      <c r="B235" s="40" t="s">
        <v>327</v>
      </c>
      <c r="C235" s="36" t="s">
        <v>55</v>
      </c>
      <c r="D235" s="37">
        <v>70</v>
      </c>
      <c r="E235" s="62"/>
      <c r="F235" s="55"/>
    </row>
    <row r="236" spans="1:6" ht="32.25" customHeight="1" x14ac:dyDescent="0.25">
      <c r="A236" s="49"/>
      <c r="B236" s="40" t="s">
        <v>328</v>
      </c>
      <c r="C236" s="36" t="s">
        <v>55</v>
      </c>
      <c r="D236" s="37">
        <v>50</v>
      </c>
      <c r="E236" s="62"/>
      <c r="F236" s="55"/>
    </row>
    <row r="237" spans="1:6" ht="32.25" customHeight="1" x14ac:dyDescent="0.25">
      <c r="A237" s="49"/>
      <c r="B237" s="40" t="s">
        <v>329</v>
      </c>
      <c r="C237" s="36" t="s">
        <v>55</v>
      </c>
      <c r="D237" s="37">
        <v>25</v>
      </c>
      <c r="E237" s="62"/>
      <c r="F237" s="55"/>
    </row>
    <row r="238" spans="1:6" ht="32.25" customHeight="1" x14ac:dyDescent="0.25">
      <c r="A238" s="49"/>
      <c r="B238" s="40" t="s">
        <v>330</v>
      </c>
      <c r="C238" s="36" t="s">
        <v>55</v>
      </c>
      <c r="D238" s="37">
        <v>30</v>
      </c>
      <c r="E238" s="62"/>
      <c r="F238" s="55"/>
    </row>
    <row r="239" spans="1:6" ht="32.25" customHeight="1" x14ac:dyDescent="0.25">
      <c r="A239" s="49"/>
      <c r="B239" s="40" t="s">
        <v>331</v>
      </c>
      <c r="C239" s="36" t="s">
        <v>55</v>
      </c>
      <c r="D239" s="37">
        <v>5</v>
      </c>
      <c r="E239" s="62"/>
      <c r="F239" s="55"/>
    </row>
    <row r="240" spans="1:6" ht="20.25" customHeight="1" x14ac:dyDescent="0.25">
      <c r="A240" s="74" t="s">
        <v>332</v>
      </c>
      <c r="B240" s="83" t="s">
        <v>333</v>
      </c>
      <c r="C240" s="84"/>
      <c r="D240" s="76"/>
      <c r="E240" s="86"/>
      <c r="F240" s="85"/>
    </row>
    <row r="241" spans="1:6" ht="38.25" customHeight="1" x14ac:dyDescent="0.25">
      <c r="A241" s="34" t="s">
        <v>334</v>
      </c>
      <c r="B241" s="35" t="s">
        <v>335</v>
      </c>
      <c r="C241" s="43" t="s">
        <v>55</v>
      </c>
      <c r="D241" s="37">
        <v>64</v>
      </c>
      <c r="E241" s="62"/>
      <c r="F241" s="44"/>
    </row>
    <row r="242" spans="1:6" ht="33" customHeight="1" x14ac:dyDescent="0.25">
      <c r="A242" s="34"/>
      <c r="B242" s="40" t="s">
        <v>336</v>
      </c>
      <c r="C242" s="43" t="s">
        <v>55</v>
      </c>
      <c r="D242" s="37">
        <v>16</v>
      </c>
      <c r="E242" s="62"/>
      <c r="F242" s="44"/>
    </row>
    <row r="243" spans="1:6" ht="33" customHeight="1" x14ac:dyDescent="0.25">
      <c r="A243" s="34"/>
      <c r="B243" s="40" t="s">
        <v>337</v>
      </c>
      <c r="C243" s="43" t="s">
        <v>55</v>
      </c>
      <c r="D243" s="37">
        <v>8</v>
      </c>
      <c r="E243" s="62"/>
      <c r="F243" s="44"/>
    </row>
    <row r="244" spans="1:6" ht="33.75" customHeight="1" x14ac:dyDescent="0.25">
      <c r="A244" s="34"/>
      <c r="B244" s="40" t="s">
        <v>338</v>
      </c>
      <c r="C244" s="43" t="s">
        <v>55</v>
      </c>
      <c r="D244" s="37">
        <v>24</v>
      </c>
      <c r="E244" s="62"/>
      <c r="F244" s="44"/>
    </row>
    <row r="245" spans="1:6" ht="45.75" customHeight="1" x14ac:dyDescent="0.25">
      <c r="A245" s="34"/>
      <c r="B245" s="40" t="s">
        <v>339</v>
      </c>
      <c r="C245" s="43" t="s">
        <v>55</v>
      </c>
      <c r="D245" s="37">
        <v>16</v>
      </c>
      <c r="E245" s="62"/>
      <c r="F245" s="44"/>
    </row>
    <row r="246" spans="1:6" ht="18.75" customHeight="1" x14ac:dyDescent="0.25">
      <c r="A246" s="34" t="s">
        <v>340</v>
      </c>
      <c r="B246" s="35" t="s">
        <v>341</v>
      </c>
      <c r="C246" s="43" t="s">
        <v>55</v>
      </c>
      <c r="D246" s="37">
        <v>88</v>
      </c>
      <c r="E246" s="62"/>
      <c r="F246" s="44"/>
    </row>
    <row r="247" spans="1:6" ht="34.5" customHeight="1" x14ac:dyDescent="0.25">
      <c r="A247" s="34"/>
      <c r="B247" s="40" t="s">
        <v>342</v>
      </c>
      <c r="C247" s="43" t="s">
        <v>55</v>
      </c>
      <c r="D247" s="37">
        <v>88</v>
      </c>
      <c r="E247" s="62"/>
      <c r="F247" s="44"/>
    </row>
    <row r="248" spans="1:6" ht="29.25" customHeight="1" x14ac:dyDescent="0.25">
      <c r="A248" s="34"/>
      <c r="B248" s="40" t="s">
        <v>343</v>
      </c>
      <c r="C248" s="43" t="s">
        <v>55</v>
      </c>
      <c r="D248" s="37">
        <v>5</v>
      </c>
      <c r="E248" s="62"/>
      <c r="F248" s="44"/>
    </row>
    <row r="249" spans="1:6" ht="18.75" customHeight="1" x14ac:dyDescent="0.25">
      <c r="A249" s="74" t="s">
        <v>344</v>
      </c>
      <c r="B249" s="70" t="s">
        <v>345</v>
      </c>
      <c r="C249" s="84"/>
      <c r="D249" s="76"/>
      <c r="E249" s="86"/>
      <c r="F249" s="97"/>
    </row>
    <row r="250" spans="1:6" ht="24" customHeight="1" x14ac:dyDescent="0.25">
      <c r="A250" s="34" t="s">
        <v>346</v>
      </c>
      <c r="B250" s="35" t="s">
        <v>347</v>
      </c>
      <c r="C250" s="43" t="s">
        <v>70</v>
      </c>
      <c r="D250" s="37">
        <v>27</v>
      </c>
      <c r="E250" s="62"/>
      <c r="F250" s="44"/>
    </row>
    <row r="251" spans="1:6" ht="31.5" customHeight="1" x14ac:dyDescent="0.25">
      <c r="A251" s="34"/>
      <c r="B251" s="45" t="s">
        <v>251</v>
      </c>
      <c r="C251" s="43" t="s">
        <v>133</v>
      </c>
      <c r="D251" s="37">
        <v>52</v>
      </c>
      <c r="E251" s="62"/>
      <c r="F251" s="44"/>
    </row>
    <row r="252" spans="1:6" ht="18.75" customHeight="1" x14ac:dyDescent="0.25">
      <c r="A252" s="34"/>
      <c r="B252" s="45" t="s">
        <v>252</v>
      </c>
      <c r="C252" s="43" t="s">
        <v>55</v>
      </c>
      <c r="D252" s="37">
        <v>50</v>
      </c>
      <c r="E252" s="62"/>
      <c r="F252" s="44"/>
    </row>
    <row r="253" spans="1:6" ht="15.75" customHeight="1" x14ac:dyDescent="0.25">
      <c r="A253" s="34"/>
      <c r="B253" s="45" t="s">
        <v>348</v>
      </c>
      <c r="C253" s="43" t="s">
        <v>55</v>
      </c>
      <c r="D253" s="37">
        <v>8</v>
      </c>
      <c r="E253" s="62"/>
      <c r="F253" s="44"/>
    </row>
    <row r="254" spans="1:6" ht="15.75" customHeight="1" x14ac:dyDescent="0.25">
      <c r="A254" s="34"/>
      <c r="B254" s="45" t="s">
        <v>349</v>
      </c>
      <c r="C254" s="43" t="s">
        <v>55</v>
      </c>
      <c r="D254" s="37">
        <v>50</v>
      </c>
      <c r="E254" s="62"/>
      <c r="F254" s="44"/>
    </row>
    <row r="255" spans="1:6" ht="15.75" customHeight="1" x14ac:dyDescent="0.25">
      <c r="A255" s="34"/>
      <c r="B255" s="66" t="s">
        <v>253</v>
      </c>
      <c r="C255" s="43" t="s">
        <v>55</v>
      </c>
      <c r="D255" s="37">
        <v>160</v>
      </c>
      <c r="E255" s="62"/>
      <c r="F255" s="44"/>
    </row>
    <row r="256" spans="1:6" ht="15.75" customHeight="1" x14ac:dyDescent="0.25">
      <c r="A256" s="34"/>
      <c r="B256" s="45" t="s">
        <v>350</v>
      </c>
      <c r="C256" s="43" t="s">
        <v>55</v>
      </c>
      <c r="D256" s="37">
        <v>50</v>
      </c>
      <c r="E256" s="62"/>
      <c r="F256" s="44"/>
    </row>
    <row r="257" spans="1:6" ht="15.75" customHeight="1" x14ac:dyDescent="0.25">
      <c r="A257" s="34" t="s">
        <v>351</v>
      </c>
      <c r="B257" s="35" t="s">
        <v>352</v>
      </c>
      <c r="C257" s="43" t="s">
        <v>55</v>
      </c>
      <c r="D257" s="37">
        <v>16</v>
      </c>
      <c r="E257" s="62"/>
      <c r="F257" s="44"/>
    </row>
    <row r="258" spans="1:6" ht="15.75" customHeight="1" x14ac:dyDescent="0.25">
      <c r="A258" s="34"/>
      <c r="B258" s="45" t="s">
        <v>353</v>
      </c>
      <c r="C258" s="43" t="s">
        <v>55</v>
      </c>
      <c r="D258" s="37">
        <v>8</v>
      </c>
      <c r="E258" s="62"/>
      <c r="F258" s="44"/>
    </row>
    <row r="259" spans="1:6" ht="15.75" customHeight="1" x14ac:dyDescent="0.25">
      <c r="A259" s="34"/>
      <c r="B259" s="45" t="s">
        <v>354</v>
      </c>
      <c r="C259" s="43" t="s">
        <v>55</v>
      </c>
      <c r="D259" s="37">
        <v>40</v>
      </c>
      <c r="E259" s="62"/>
      <c r="F259" s="44"/>
    </row>
    <row r="260" spans="1:6" ht="15.75" customHeight="1" x14ac:dyDescent="0.25">
      <c r="A260" s="34" t="s">
        <v>355</v>
      </c>
      <c r="B260" s="35" t="s">
        <v>356</v>
      </c>
      <c r="C260" s="43" t="s">
        <v>55</v>
      </c>
      <c r="D260" s="37">
        <v>8</v>
      </c>
      <c r="E260" s="62"/>
      <c r="F260" s="44"/>
    </row>
    <row r="261" spans="1:6" ht="15.75" customHeight="1" x14ac:dyDescent="0.25">
      <c r="A261" s="34"/>
      <c r="B261" s="45" t="s">
        <v>357</v>
      </c>
      <c r="C261" s="43" t="s">
        <v>55</v>
      </c>
      <c r="D261" s="37">
        <v>8</v>
      </c>
      <c r="E261" s="62"/>
      <c r="F261" s="44"/>
    </row>
    <row r="262" spans="1:6" ht="15.75" customHeight="1" x14ac:dyDescent="0.25">
      <c r="A262" s="34" t="s">
        <v>358</v>
      </c>
      <c r="B262" s="35" t="s">
        <v>359</v>
      </c>
      <c r="C262" s="43" t="s">
        <v>55</v>
      </c>
      <c r="D262" s="37">
        <v>8</v>
      </c>
      <c r="E262" s="62"/>
      <c r="F262" s="44"/>
    </row>
    <row r="263" spans="1:6" ht="15.75" customHeight="1" x14ac:dyDescent="0.25">
      <c r="A263" s="34"/>
      <c r="B263" s="45" t="s">
        <v>360</v>
      </c>
      <c r="C263" s="43" t="s">
        <v>55</v>
      </c>
      <c r="D263" s="37">
        <v>8</v>
      </c>
      <c r="E263" s="62"/>
      <c r="F263" s="44"/>
    </row>
    <row r="264" spans="1:6" ht="15.75" customHeight="1" x14ac:dyDescent="0.25">
      <c r="A264" s="34"/>
      <c r="B264" s="45" t="s">
        <v>361</v>
      </c>
      <c r="C264" s="43" t="s">
        <v>55</v>
      </c>
      <c r="D264" s="37">
        <v>8</v>
      </c>
      <c r="E264" s="62"/>
      <c r="F264" s="44"/>
    </row>
    <row r="265" spans="1:6" ht="15.75" customHeight="1" x14ac:dyDescent="0.25">
      <c r="A265" s="34" t="s">
        <v>362</v>
      </c>
      <c r="B265" s="35" t="s">
        <v>363</v>
      </c>
      <c r="C265" s="43" t="s">
        <v>55</v>
      </c>
      <c r="D265" s="37">
        <v>8</v>
      </c>
      <c r="E265" s="62"/>
      <c r="F265" s="44"/>
    </row>
    <row r="266" spans="1:6" ht="15.75" customHeight="1" x14ac:dyDescent="0.25">
      <c r="A266" s="34"/>
      <c r="B266" s="45" t="s">
        <v>364</v>
      </c>
      <c r="C266" s="43" t="s">
        <v>55</v>
      </c>
      <c r="D266" s="37">
        <v>8</v>
      </c>
      <c r="E266" s="62"/>
      <c r="F266" s="44"/>
    </row>
    <row r="267" spans="1:6" ht="15.75" customHeight="1" x14ac:dyDescent="0.25">
      <c r="A267" s="34"/>
      <c r="B267" s="45" t="s">
        <v>365</v>
      </c>
      <c r="C267" s="43" t="s">
        <v>55</v>
      </c>
      <c r="D267" s="37">
        <v>8</v>
      </c>
      <c r="E267" s="62"/>
      <c r="F267" s="44"/>
    </row>
    <row r="268" spans="1:6" ht="15.75" customHeight="1" x14ac:dyDescent="0.25">
      <c r="A268" s="34" t="s">
        <v>366</v>
      </c>
      <c r="B268" s="35" t="s">
        <v>367</v>
      </c>
      <c r="C268" s="43" t="s">
        <v>55</v>
      </c>
      <c r="D268" s="37">
        <v>8</v>
      </c>
      <c r="E268" s="62"/>
      <c r="F268" s="44"/>
    </row>
    <row r="269" spans="1:6" ht="15.75" customHeight="1" x14ac:dyDescent="0.25">
      <c r="A269" s="49"/>
      <c r="B269" s="45" t="s">
        <v>368</v>
      </c>
      <c r="C269" s="43" t="s">
        <v>55</v>
      </c>
      <c r="D269" s="37">
        <v>8</v>
      </c>
      <c r="E269" s="62"/>
      <c r="F269" s="44"/>
    </row>
    <row r="270" spans="1:6" ht="20.25" customHeight="1" x14ac:dyDescent="0.25">
      <c r="A270" s="49"/>
      <c r="B270" s="67"/>
      <c r="C270" s="43"/>
      <c r="D270" s="37"/>
      <c r="E270" s="62"/>
      <c r="F270" s="44"/>
    </row>
    <row r="271" spans="1:6" ht="15.75" customHeight="1" x14ac:dyDescent="0.25">
      <c r="A271" s="49"/>
      <c r="B271" s="35"/>
      <c r="C271" s="43"/>
      <c r="D271" s="37"/>
      <c r="E271" s="62"/>
      <c r="F271" s="56"/>
    </row>
    <row r="272" spans="1:6" ht="15.75" customHeight="1" x14ac:dyDescent="0.25">
      <c r="A272" s="49"/>
      <c r="B272" s="35"/>
      <c r="C272" s="43"/>
      <c r="D272" s="37"/>
      <c r="E272" s="62"/>
      <c r="F272" s="44"/>
    </row>
    <row r="273" spans="1:6" ht="15.75" customHeight="1" x14ac:dyDescent="0.25">
      <c r="A273" s="49"/>
      <c r="B273" s="35"/>
      <c r="C273" s="44"/>
      <c r="D273" s="44"/>
      <c r="E273" s="68"/>
      <c r="F273" s="44"/>
    </row>
    <row r="274" spans="1:6" ht="15.75" customHeight="1" x14ac:dyDescent="0.25">
      <c r="A274" s="25"/>
      <c r="B274" s="25"/>
      <c r="C274" s="25"/>
      <c r="D274" s="25"/>
      <c r="E274" s="25"/>
      <c r="F274" s="25"/>
    </row>
    <row r="275" spans="1:6" ht="15.75" customHeight="1" x14ac:dyDescent="0.25">
      <c r="A275" s="25"/>
      <c r="B275" s="25"/>
      <c r="C275" s="25"/>
      <c r="D275" s="25"/>
      <c r="E275" s="25"/>
      <c r="F275" s="25"/>
    </row>
    <row r="276" spans="1:6" ht="15.75" customHeight="1" x14ac:dyDescent="0.25">
      <c r="A276" s="25"/>
      <c r="B276" s="25"/>
      <c r="C276" s="25"/>
      <c r="D276" s="25"/>
      <c r="E276" s="25"/>
      <c r="F276" s="25"/>
    </row>
    <row r="277" spans="1:6" ht="15.75" customHeight="1" x14ac:dyDescent="0.25">
      <c r="A277" s="25"/>
      <c r="B277" s="25"/>
      <c r="C277" s="25"/>
      <c r="D277" s="25"/>
      <c r="E277" s="25"/>
      <c r="F277" s="25"/>
    </row>
    <row r="278" spans="1:6" ht="15.75" customHeight="1" x14ac:dyDescent="0.25">
      <c r="A278" s="25"/>
      <c r="B278" s="25"/>
      <c r="C278" s="25"/>
      <c r="D278" s="25"/>
      <c r="E278" s="25"/>
      <c r="F278" s="25"/>
    </row>
    <row r="279" spans="1:6" ht="15.75" customHeight="1" x14ac:dyDescent="0.25">
      <c r="A279" s="25"/>
      <c r="B279" s="25"/>
      <c r="C279" s="25"/>
      <c r="D279" s="25"/>
      <c r="E279" s="25"/>
      <c r="F279" s="25"/>
    </row>
    <row r="280" spans="1:6" ht="15.75" customHeight="1" x14ac:dyDescent="0.25">
      <c r="A280" s="25"/>
      <c r="B280" s="25"/>
      <c r="C280" s="25"/>
      <c r="D280" s="25"/>
      <c r="E280" s="25"/>
      <c r="F280" s="25"/>
    </row>
    <row r="281" spans="1:6" ht="15.75" customHeight="1" x14ac:dyDescent="0.25">
      <c r="A281" s="25"/>
      <c r="B281" s="25"/>
      <c r="C281" s="25"/>
      <c r="D281" s="25"/>
      <c r="E281" s="25"/>
      <c r="F281" s="25"/>
    </row>
    <row r="282" spans="1:6" ht="15.75" customHeight="1" x14ac:dyDescent="0.25">
      <c r="A282" s="25"/>
      <c r="B282" s="25"/>
      <c r="C282" s="25"/>
      <c r="D282" s="25"/>
      <c r="E282" s="25"/>
      <c r="F282" s="25"/>
    </row>
    <row r="283" spans="1:6" ht="15.75" customHeight="1" x14ac:dyDescent="0.25">
      <c r="A283" s="25"/>
      <c r="B283" s="25"/>
      <c r="C283" s="25"/>
      <c r="D283" s="25"/>
      <c r="E283" s="25"/>
      <c r="F283" s="25"/>
    </row>
    <row r="284" spans="1:6" ht="15.75" customHeight="1" x14ac:dyDescent="0.25">
      <c r="A284" s="25"/>
      <c r="B284" s="25"/>
      <c r="C284" s="25"/>
      <c r="D284" s="25"/>
      <c r="E284" s="25"/>
      <c r="F284" s="25"/>
    </row>
    <row r="285" spans="1:6" ht="15.75" customHeight="1" x14ac:dyDescent="0.25">
      <c r="A285" s="25"/>
      <c r="B285" s="25"/>
      <c r="C285" s="25"/>
      <c r="D285" s="25"/>
      <c r="E285" s="25"/>
      <c r="F285" s="25"/>
    </row>
    <row r="286" spans="1:6" ht="15.75" customHeight="1" x14ac:dyDescent="0.25">
      <c r="A286" s="25"/>
      <c r="B286" s="25"/>
      <c r="C286" s="25"/>
      <c r="D286" s="25"/>
      <c r="E286" s="25"/>
      <c r="F286" s="25"/>
    </row>
    <row r="287" spans="1:6" ht="15.75" customHeight="1" x14ac:dyDescent="0.25">
      <c r="A287" s="25"/>
      <c r="B287" s="25"/>
      <c r="C287" s="25"/>
      <c r="D287" s="25"/>
      <c r="E287" s="25"/>
      <c r="F287" s="25"/>
    </row>
    <row r="288" spans="1:6" ht="15.75" customHeight="1" x14ac:dyDescent="0.25">
      <c r="A288" s="25"/>
      <c r="B288" s="25"/>
      <c r="C288" s="25"/>
      <c r="D288" s="25"/>
      <c r="E288" s="25"/>
      <c r="F288" s="25"/>
    </row>
    <row r="289" spans="1:6" ht="15.75" customHeight="1" x14ac:dyDescent="0.25">
      <c r="A289" s="25"/>
      <c r="B289" s="25"/>
      <c r="C289" s="25"/>
      <c r="D289" s="25"/>
      <c r="E289" s="25"/>
      <c r="F289" s="25"/>
    </row>
    <row r="290" spans="1:6" ht="15.75" customHeight="1" x14ac:dyDescent="0.25">
      <c r="A290" s="25"/>
      <c r="B290" s="25"/>
      <c r="C290" s="25"/>
      <c r="D290" s="25"/>
      <c r="E290" s="25"/>
      <c r="F290" s="25"/>
    </row>
    <row r="291" spans="1:6" ht="15.75" customHeight="1" x14ac:dyDescent="0.25">
      <c r="A291" s="25"/>
      <c r="B291" s="25"/>
      <c r="C291" s="25"/>
      <c r="D291" s="25"/>
      <c r="E291" s="25"/>
      <c r="F291" s="25"/>
    </row>
    <row r="292" spans="1:6" ht="15.75" customHeight="1" x14ac:dyDescent="0.25">
      <c r="A292" s="25"/>
      <c r="B292" s="25"/>
      <c r="C292" s="25"/>
      <c r="D292" s="25"/>
      <c r="E292" s="25"/>
      <c r="F292" s="25"/>
    </row>
    <row r="293" spans="1:6" ht="15.75" customHeight="1" x14ac:dyDescent="0.25">
      <c r="A293" s="25"/>
      <c r="B293" s="25"/>
      <c r="C293" s="25"/>
      <c r="D293" s="25"/>
      <c r="E293" s="25"/>
      <c r="F293" s="25"/>
    </row>
    <row r="294" spans="1:6" ht="15.75" customHeight="1" x14ac:dyDescent="0.25">
      <c r="A294" s="25"/>
      <c r="B294" s="25"/>
      <c r="C294" s="25"/>
      <c r="D294" s="25"/>
      <c r="E294" s="25"/>
      <c r="F294" s="25"/>
    </row>
    <row r="295" spans="1:6" ht="15.75" customHeight="1" x14ac:dyDescent="0.25">
      <c r="A295" s="25"/>
      <c r="B295" s="25"/>
      <c r="C295" s="25"/>
      <c r="D295" s="25"/>
      <c r="E295" s="25"/>
      <c r="F295" s="25"/>
    </row>
    <row r="296" spans="1:6" ht="15.75" customHeight="1" x14ac:dyDescent="0.25">
      <c r="A296" s="25"/>
      <c r="B296" s="25"/>
      <c r="C296" s="25"/>
      <c r="D296" s="25"/>
      <c r="E296" s="25"/>
      <c r="F296" s="25"/>
    </row>
    <row r="297" spans="1:6" ht="15.75" customHeight="1" x14ac:dyDescent="0.25">
      <c r="A297" s="25"/>
      <c r="B297" s="25"/>
      <c r="C297" s="25"/>
      <c r="D297" s="25"/>
      <c r="E297" s="25"/>
      <c r="F297" s="25"/>
    </row>
    <row r="298" spans="1:6" ht="15.75" customHeight="1" x14ac:dyDescent="0.25">
      <c r="A298" s="25"/>
      <c r="B298" s="25"/>
      <c r="C298" s="25"/>
      <c r="D298" s="25"/>
      <c r="E298" s="25"/>
      <c r="F298" s="25"/>
    </row>
    <row r="299" spans="1:6" ht="15.75" customHeight="1" x14ac:dyDescent="0.25">
      <c r="A299" s="25"/>
      <c r="B299" s="25"/>
      <c r="C299" s="25"/>
      <c r="D299" s="25"/>
      <c r="E299" s="25"/>
      <c r="F299" s="25"/>
    </row>
    <row r="300" spans="1:6" ht="15.75" customHeight="1" x14ac:dyDescent="0.25">
      <c r="A300" s="25"/>
      <c r="B300" s="25"/>
      <c r="C300" s="25"/>
      <c r="D300" s="25"/>
      <c r="E300" s="25"/>
      <c r="F300" s="25"/>
    </row>
    <row r="301" spans="1:6" ht="15.75" customHeight="1" x14ac:dyDescent="0.25">
      <c r="A301" s="25"/>
      <c r="B301" s="25"/>
      <c r="C301" s="25"/>
      <c r="D301" s="25"/>
      <c r="E301" s="25"/>
      <c r="F301" s="25"/>
    </row>
    <row r="302" spans="1:6" ht="15.75" customHeight="1" x14ac:dyDescent="0.25">
      <c r="A302" s="25"/>
      <c r="B302" s="25"/>
      <c r="C302" s="25"/>
      <c r="D302" s="25"/>
      <c r="E302" s="25"/>
      <c r="F302" s="25"/>
    </row>
    <row r="303" spans="1:6" ht="15.75" customHeight="1" x14ac:dyDescent="0.25">
      <c r="A303" s="25"/>
      <c r="B303" s="25"/>
      <c r="C303" s="25"/>
      <c r="D303" s="25"/>
      <c r="E303" s="25"/>
      <c r="F303" s="25"/>
    </row>
    <row r="304" spans="1:6" ht="15.75" customHeight="1" x14ac:dyDescent="0.25">
      <c r="A304" s="25"/>
      <c r="B304" s="25"/>
      <c r="C304" s="25"/>
      <c r="D304" s="25"/>
      <c r="E304" s="25"/>
      <c r="F304" s="25"/>
    </row>
    <row r="305" spans="1:6" ht="15.75" customHeight="1" x14ac:dyDescent="0.25">
      <c r="A305" s="25"/>
      <c r="B305" s="25"/>
      <c r="C305" s="25"/>
      <c r="D305" s="25"/>
      <c r="E305" s="25"/>
      <c r="F305" s="25"/>
    </row>
    <row r="306" spans="1:6" ht="15.75" customHeight="1" x14ac:dyDescent="0.25">
      <c r="A306" s="25"/>
      <c r="B306" s="25"/>
      <c r="C306" s="25"/>
      <c r="D306" s="25"/>
      <c r="E306" s="25"/>
      <c r="F306" s="25"/>
    </row>
    <row r="307" spans="1:6" ht="15.75" customHeight="1" x14ac:dyDescent="0.25">
      <c r="A307" s="25"/>
      <c r="B307" s="25"/>
      <c r="C307" s="25"/>
      <c r="D307" s="25"/>
      <c r="E307" s="25"/>
      <c r="F307" s="25"/>
    </row>
    <row r="308" spans="1:6" ht="15.75" customHeight="1" x14ac:dyDescent="0.25">
      <c r="A308" s="25"/>
      <c r="B308" s="25"/>
      <c r="C308" s="25"/>
      <c r="D308" s="25"/>
      <c r="E308" s="25"/>
      <c r="F308" s="25"/>
    </row>
    <row r="309" spans="1:6" ht="15.75" customHeight="1" x14ac:dyDescent="0.25">
      <c r="A309" s="25"/>
      <c r="B309" s="25"/>
      <c r="C309" s="25"/>
      <c r="D309" s="25"/>
      <c r="E309" s="25"/>
      <c r="F309" s="25"/>
    </row>
    <row r="310" spans="1:6" ht="15.75" customHeight="1" x14ac:dyDescent="0.25">
      <c r="A310" s="25"/>
      <c r="B310" s="25"/>
      <c r="C310" s="25"/>
      <c r="D310" s="25"/>
      <c r="E310" s="25"/>
      <c r="F310" s="25"/>
    </row>
    <row r="311" spans="1:6" ht="15.75" customHeight="1" x14ac:dyDescent="0.25">
      <c r="A311" s="25"/>
      <c r="B311" s="25"/>
      <c r="C311" s="25"/>
      <c r="D311" s="25"/>
      <c r="E311" s="25"/>
      <c r="F311" s="25"/>
    </row>
    <row r="312" spans="1:6" ht="15.75" customHeight="1" x14ac:dyDescent="0.25">
      <c r="A312" s="25"/>
      <c r="B312" s="25"/>
      <c r="C312" s="25"/>
      <c r="D312" s="25"/>
      <c r="E312" s="25"/>
      <c r="F312" s="25"/>
    </row>
    <row r="313" spans="1:6" ht="15.75" customHeight="1" x14ac:dyDescent="0.25">
      <c r="A313" s="25"/>
      <c r="B313" s="25"/>
      <c r="C313" s="25"/>
      <c r="D313" s="25"/>
      <c r="E313" s="25"/>
      <c r="F313" s="25"/>
    </row>
    <row r="314" spans="1:6" ht="15.75" customHeight="1" x14ac:dyDescent="0.25">
      <c r="A314" s="25"/>
      <c r="B314" s="25"/>
      <c r="C314" s="25"/>
      <c r="D314" s="25"/>
      <c r="E314" s="25"/>
      <c r="F314" s="25"/>
    </row>
    <row r="315" spans="1:6" ht="15.75" customHeight="1" x14ac:dyDescent="0.25">
      <c r="A315" s="25"/>
      <c r="B315" s="25"/>
      <c r="C315" s="25"/>
      <c r="D315" s="25"/>
      <c r="E315" s="25"/>
      <c r="F315" s="25"/>
    </row>
    <row r="316" spans="1:6" ht="15.75" customHeight="1" x14ac:dyDescent="0.25">
      <c r="A316" s="25"/>
      <c r="B316" s="25"/>
      <c r="C316" s="25"/>
      <c r="D316" s="25"/>
      <c r="E316" s="25"/>
      <c r="F316" s="25"/>
    </row>
    <row r="317" spans="1:6" ht="15.75" customHeight="1" x14ac:dyDescent="0.25">
      <c r="A317" s="25"/>
      <c r="B317" s="25"/>
      <c r="C317" s="25"/>
      <c r="D317" s="25"/>
      <c r="E317" s="25"/>
      <c r="F317" s="25"/>
    </row>
    <row r="318" spans="1:6" ht="15.75" customHeight="1" x14ac:dyDescent="0.25">
      <c r="A318" s="25"/>
      <c r="B318" s="25"/>
      <c r="C318" s="25"/>
      <c r="D318" s="25"/>
      <c r="E318" s="25"/>
      <c r="F318" s="25"/>
    </row>
    <row r="319" spans="1:6" ht="15.75" customHeight="1" x14ac:dyDescent="0.25">
      <c r="A319" s="25"/>
      <c r="B319" s="25"/>
      <c r="C319" s="25"/>
      <c r="D319" s="25"/>
      <c r="E319" s="25"/>
      <c r="F319" s="25"/>
    </row>
    <row r="320" spans="1:6" ht="15.75" customHeight="1" x14ac:dyDescent="0.25">
      <c r="A320" s="25"/>
      <c r="B320" s="25"/>
      <c r="C320" s="25"/>
      <c r="D320" s="25"/>
      <c r="E320" s="25"/>
      <c r="F320" s="25"/>
    </row>
    <row r="321" spans="1:6" ht="15.75" customHeight="1" x14ac:dyDescent="0.25">
      <c r="A321" s="25"/>
      <c r="B321" s="25"/>
      <c r="C321" s="25"/>
      <c r="D321" s="25"/>
      <c r="E321" s="25"/>
      <c r="F321" s="25"/>
    </row>
    <row r="322" spans="1:6" ht="15.75" customHeight="1" x14ac:dyDescent="0.25">
      <c r="A322" s="25"/>
      <c r="B322" s="25"/>
      <c r="C322" s="25"/>
      <c r="D322" s="25"/>
      <c r="E322" s="25"/>
      <c r="F322" s="25"/>
    </row>
    <row r="323" spans="1:6" ht="15.75" customHeight="1" x14ac:dyDescent="0.25">
      <c r="A323" s="25"/>
      <c r="B323" s="25"/>
      <c r="C323" s="25"/>
      <c r="D323" s="25"/>
      <c r="E323" s="25"/>
      <c r="F323" s="25"/>
    </row>
    <row r="324" spans="1:6" ht="15.75" customHeight="1" x14ac:dyDescent="0.25">
      <c r="A324" s="25"/>
      <c r="B324" s="25"/>
      <c r="C324" s="25"/>
      <c r="D324" s="25"/>
      <c r="E324" s="25"/>
      <c r="F324" s="25"/>
    </row>
    <row r="325" spans="1:6" ht="15.75" customHeight="1" x14ac:dyDescent="0.25">
      <c r="A325" s="25"/>
      <c r="B325" s="25"/>
      <c r="C325" s="25"/>
      <c r="D325" s="25"/>
      <c r="E325" s="25"/>
      <c r="F325" s="25"/>
    </row>
    <row r="326" spans="1:6" ht="15.75" customHeight="1" x14ac:dyDescent="0.25">
      <c r="A326" s="25"/>
      <c r="B326" s="25"/>
      <c r="C326" s="25"/>
      <c r="D326" s="25"/>
      <c r="E326" s="25"/>
      <c r="F326" s="25"/>
    </row>
    <row r="327" spans="1:6" ht="15.75" customHeight="1" x14ac:dyDescent="0.25">
      <c r="A327" s="25"/>
      <c r="B327" s="25"/>
      <c r="C327" s="25"/>
      <c r="D327" s="25"/>
      <c r="E327" s="25"/>
      <c r="F327" s="25"/>
    </row>
    <row r="328" spans="1:6" ht="15.75" customHeight="1" x14ac:dyDescent="0.25">
      <c r="A328" s="25"/>
      <c r="B328" s="25"/>
      <c r="C328" s="25"/>
      <c r="D328" s="25"/>
      <c r="E328" s="25"/>
      <c r="F328" s="25"/>
    </row>
    <row r="329" spans="1:6" ht="15.75" customHeight="1" x14ac:dyDescent="0.25">
      <c r="A329" s="25"/>
      <c r="B329" s="25"/>
      <c r="C329" s="25"/>
      <c r="D329" s="25"/>
      <c r="E329" s="25"/>
      <c r="F329" s="25"/>
    </row>
    <row r="330" spans="1:6" ht="15.75" customHeight="1" x14ac:dyDescent="0.25">
      <c r="A330" s="25"/>
      <c r="B330" s="25"/>
      <c r="C330" s="25"/>
      <c r="D330" s="25"/>
      <c r="E330" s="25"/>
      <c r="F330" s="25"/>
    </row>
    <row r="331" spans="1:6" ht="15.75" customHeight="1" x14ac:dyDescent="0.25">
      <c r="A331" s="25"/>
      <c r="B331" s="25"/>
      <c r="C331" s="25"/>
      <c r="D331" s="25"/>
      <c r="E331" s="25"/>
      <c r="F331" s="25"/>
    </row>
    <row r="332" spans="1:6" ht="15.75" customHeight="1" x14ac:dyDescent="0.25">
      <c r="A332" s="25"/>
      <c r="B332" s="25"/>
      <c r="C332" s="25"/>
      <c r="D332" s="25"/>
      <c r="E332" s="25"/>
      <c r="F332" s="25"/>
    </row>
    <row r="333" spans="1:6" ht="15.75" customHeight="1" x14ac:dyDescent="0.25">
      <c r="A333" s="25"/>
      <c r="B333" s="25"/>
      <c r="C333" s="25"/>
      <c r="D333" s="25"/>
      <c r="E333" s="25"/>
      <c r="F333" s="25"/>
    </row>
    <row r="334" spans="1:6" ht="15.75" customHeight="1" x14ac:dyDescent="0.25">
      <c r="A334" s="25"/>
      <c r="B334" s="25"/>
      <c r="C334" s="25"/>
      <c r="D334" s="25"/>
      <c r="E334" s="25"/>
      <c r="F334" s="25"/>
    </row>
    <row r="335" spans="1:6" ht="15.75" customHeight="1" x14ac:dyDescent="0.25">
      <c r="A335" s="25"/>
      <c r="B335" s="25"/>
      <c r="C335" s="25"/>
      <c r="D335" s="25"/>
      <c r="E335" s="25"/>
      <c r="F335" s="25"/>
    </row>
    <row r="336" spans="1:6" ht="15.75" customHeight="1" x14ac:dyDescent="0.25">
      <c r="A336" s="25"/>
      <c r="B336" s="25"/>
      <c r="C336" s="25"/>
      <c r="D336" s="25"/>
      <c r="E336" s="25"/>
      <c r="F336" s="25"/>
    </row>
    <row r="337" spans="1:6" ht="15.75" customHeight="1" x14ac:dyDescent="0.25">
      <c r="A337" s="25"/>
      <c r="B337" s="25"/>
      <c r="C337" s="25"/>
      <c r="D337" s="25"/>
      <c r="E337" s="25"/>
      <c r="F337" s="25"/>
    </row>
    <row r="338" spans="1:6" ht="15.75" customHeight="1" x14ac:dyDescent="0.25">
      <c r="A338" s="25"/>
      <c r="B338" s="25"/>
      <c r="C338" s="25"/>
      <c r="D338" s="25"/>
      <c r="E338" s="25"/>
      <c r="F338" s="25"/>
    </row>
    <row r="339" spans="1:6" ht="15.75" customHeight="1" x14ac:dyDescent="0.25">
      <c r="A339" s="25"/>
      <c r="B339" s="25"/>
      <c r="C339" s="25"/>
      <c r="D339" s="25"/>
      <c r="E339" s="25"/>
      <c r="F339" s="25"/>
    </row>
    <row r="340" spans="1:6" ht="15.75" customHeight="1" x14ac:dyDescent="0.25">
      <c r="A340" s="25"/>
      <c r="B340" s="25"/>
      <c r="C340" s="25"/>
      <c r="D340" s="25"/>
      <c r="E340" s="25"/>
      <c r="F340" s="25"/>
    </row>
    <row r="341" spans="1:6" ht="15.75" customHeight="1" x14ac:dyDescent="0.25">
      <c r="A341" s="25"/>
      <c r="B341" s="25"/>
      <c r="C341" s="25"/>
      <c r="D341" s="25"/>
      <c r="E341" s="25"/>
      <c r="F341" s="25"/>
    </row>
    <row r="342" spans="1:6" ht="15.75" customHeight="1" x14ac:dyDescent="0.25">
      <c r="A342" s="25"/>
      <c r="B342" s="25"/>
      <c r="C342" s="25"/>
      <c r="D342" s="25"/>
      <c r="E342" s="25"/>
      <c r="F342" s="25"/>
    </row>
    <row r="343" spans="1:6" ht="15.75" customHeight="1" x14ac:dyDescent="0.25">
      <c r="A343" s="25"/>
      <c r="B343" s="25"/>
      <c r="C343" s="25"/>
      <c r="D343" s="25"/>
      <c r="E343" s="25"/>
      <c r="F343" s="25"/>
    </row>
    <row r="344" spans="1:6" ht="15.75" customHeight="1" x14ac:dyDescent="0.25">
      <c r="A344" s="25"/>
      <c r="B344" s="25"/>
      <c r="C344" s="25"/>
      <c r="D344" s="25"/>
      <c r="E344" s="25"/>
      <c r="F344" s="25"/>
    </row>
    <row r="345" spans="1:6" ht="15.75" customHeight="1" x14ac:dyDescent="0.25">
      <c r="A345" s="25"/>
      <c r="B345" s="25"/>
      <c r="C345" s="25"/>
      <c r="D345" s="25"/>
      <c r="E345" s="25"/>
      <c r="F345" s="25"/>
    </row>
    <row r="346" spans="1:6" ht="15.75" customHeight="1" x14ac:dyDescent="0.25">
      <c r="A346" s="25"/>
      <c r="B346" s="25"/>
      <c r="C346" s="25"/>
      <c r="D346" s="25"/>
      <c r="E346" s="25"/>
      <c r="F346" s="25"/>
    </row>
    <row r="347" spans="1:6" ht="15.75" customHeight="1" x14ac:dyDescent="0.25">
      <c r="A347" s="25"/>
      <c r="B347" s="25"/>
      <c r="C347" s="25"/>
      <c r="D347" s="25"/>
      <c r="E347" s="25"/>
      <c r="F347" s="25"/>
    </row>
    <row r="348" spans="1:6" ht="15.75" customHeight="1" x14ac:dyDescent="0.25">
      <c r="A348" s="25"/>
      <c r="B348" s="25"/>
      <c r="C348" s="25"/>
      <c r="D348" s="25"/>
      <c r="E348" s="25"/>
      <c r="F348" s="25"/>
    </row>
    <row r="349" spans="1:6" ht="15.75" customHeight="1" x14ac:dyDescent="0.25">
      <c r="A349" s="25"/>
      <c r="B349" s="25"/>
      <c r="C349" s="25"/>
      <c r="D349" s="25"/>
      <c r="E349" s="25"/>
      <c r="F349" s="25"/>
    </row>
    <row r="350" spans="1:6" ht="15.75" customHeight="1" x14ac:dyDescent="0.25">
      <c r="A350" s="25"/>
      <c r="B350" s="25"/>
      <c r="C350" s="25"/>
      <c r="D350" s="25"/>
      <c r="E350" s="25"/>
      <c r="F350" s="25"/>
    </row>
    <row r="351" spans="1:6" ht="15.75" customHeight="1" x14ac:dyDescent="0.25">
      <c r="A351" s="25"/>
      <c r="B351" s="25"/>
      <c r="C351" s="25"/>
      <c r="D351" s="25"/>
      <c r="E351" s="25"/>
      <c r="F351" s="25"/>
    </row>
    <row r="352" spans="1:6" ht="15.75" customHeight="1" x14ac:dyDescent="0.25">
      <c r="A352" s="25"/>
      <c r="B352" s="25"/>
      <c r="C352" s="25"/>
      <c r="D352" s="25"/>
      <c r="E352" s="25"/>
      <c r="F352" s="25"/>
    </row>
    <row r="353" spans="1:6" ht="15.75" customHeight="1" x14ac:dyDescent="0.25">
      <c r="A353" s="25"/>
      <c r="B353" s="25"/>
      <c r="C353" s="25"/>
      <c r="D353" s="25"/>
      <c r="E353" s="25"/>
      <c r="F353" s="25"/>
    </row>
    <row r="354" spans="1:6" ht="15.75" customHeight="1" x14ac:dyDescent="0.25">
      <c r="A354" s="25"/>
      <c r="B354" s="25"/>
      <c r="C354" s="25"/>
      <c r="D354" s="25"/>
      <c r="E354" s="25"/>
      <c r="F354" s="25"/>
    </row>
    <row r="355" spans="1:6" ht="15.75" customHeight="1" x14ac:dyDescent="0.25">
      <c r="A355" s="25"/>
      <c r="B355" s="25"/>
      <c r="C355" s="25"/>
      <c r="D355" s="25"/>
      <c r="E355" s="25"/>
      <c r="F355" s="25"/>
    </row>
    <row r="356" spans="1:6" ht="15.75" customHeight="1" x14ac:dyDescent="0.25">
      <c r="A356" s="25"/>
      <c r="B356" s="25"/>
      <c r="C356" s="25"/>
      <c r="D356" s="25"/>
      <c r="E356" s="25"/>
      <c r="F356" s="25"/>
    </row>
    <row r="357" spans="1:6" ht="15.75" customHeight="1" x14ac:dyDescent="0.25">
      <c r="A357" s="25"/>
      <c r="B357" s="25"/>
      <c r="C357" s="25"/>
      <c r="D357" s="25"/>
      <c r="E357" s="25"/>
      <c r="F357" s="25"/>
    </row>
    <row r="358" spans="1:6" ht="15.75" customHeight="1" x14ac:dyDescent="0.25">
      <c r="A358" s="25"/>
      <c r="B358" s="25"/>
      <c r="C358" s="25"/>
      <c r="D358" s="25"/>
      <c r="E358" s="25"/>
      <c r="F358" s="25"/>
    </row>
    <row r="359" spans="1:6" ht="15.75" customHeight="1" x14ac:dyDescent="0.25">
      <c r="A359" s="25"/>
      <c r="B359" s="25"/>
      <c r="C359" s="25"/>
      <c r="D359" s="25"/>
      <c r="E359" s="25"/>
      <c r="F359" s="25"/>
    </row>
    <row r="360" spans="1:6" ht="15.75" customHeight="1" x14ac:dyDescent="0.25">
      <c r="A360" s="25"/>
      <c r="B360" s="25"/>
      <c r="C360" s="25"/>
      <c r="D360" s="25"/>
      <c r="E360" s="25"/>
      <c r="F360" s="25"/>
    </row>
    <row r="361" spans="1:6" ht="15.75" customHeight="1" x14ac:dyDescent="0.25">
      <c r="A361" s="25"/>
      <c r="B361" s="25"/>
      <c r="C361" s="25"/>
      <c r="D361" s="25"/>
      <c r="E361" s="25"/>
      <c r="F361" s="25"/>
    </row>
    <row r="362" spans="1:6" ht="15.75" customHeight="1" x14ac:dyDescent="0.25">
      <c r="A362" s="25"/>
      <c r="B362" s="25"/>
      <c r="C362" s="25"/>
      <c r="D362" s="25"/>
      <c r="E362" s="25"/>
      <c r="F362" s="25"/>
    </row>
    <row r="363" spans="1:6" ht="15.75" customHeight="1" x14ac:dyDescent="0.25">
      <c r="A363" s="25"/>
      <c r="B363" s="25"/>
      <c r="C363" s="25"/>
      <c r="D363" s="25"/>
      <c r="E363" s="25"/>
      <c r="F363" s="25"/>
    </row>
    <row r="364" spans="1:6" ht="15.75" customHeight="1" x14ac:dyDescent="0.25">
      <c r="A364" s="25"/>
      <c r="B364" s="25"/>
      <c r="C364" s="25"/>
      <c r="D364" s="25"/>
      <c r="E364" s="25"/>
      <c r="F364" s="25"/>
    </row>
    <row r="365" spans="1:6" ht="15.75" customHeight="1" x14ac:dyDescent="0.25">
      <c r="A365" s="25"/>
      <c r="B365" s="25"/>
      <c r="C365" s="25"/>
      <c r="D365" s="25"/>
      <c r="E365" s="25"/>
      <c r="F365" s="25"/>
    </row>
    <row r="366" spans="1:6" ht="15.75" customHeight="1" x14ac:dyDescent="0.25">
      <c r="A366" s="25"/>
      <c r="B366" s="25"/>
      <c r="C366" s="25"/>
      <c r="D366" s="25"/>
      <c r="E366" s="25"/>
      <c r="F366" s="25"/>
    </row>
    <row r="367" spans="1:6" ht="15.75" customHeight="1" x14ac:dyDescent="0.25">
      <c r="A367" s="25"/>
      <c r="B367" s="25"/>
      <c r="C367" s="25"/>
      <c r="D367" s="25"/>
      <c r="E367" s="25"/>
      <c r="F367" s="25"/>
    </row>
    <row r="368" spans="1:6" ht="15.75" customHeight="1" x14ac:dyDescent="0.25">
      <c r="A368" s="25"/>
      <c r="B368" s="25"/>
      <c r="C368" s="25"/>
      <c r="D368" s="25"/>
      <c r="E368" s="25"/>
      <c r="F368" s="25"/>
    </row>
    <row r="369" spans="1:6" ht="15.75" customHeight="1" x14ac:dyDescent="0.25">
      <c r="A369" s="25"/>
      <c r="B369" s="25"/>
      <c r="C369" s="25"/>
      <c r="D369" s="25"/>
      <c r="E369" s="25"/>
      <c r="F369" s="25"/>
    </row>
    <row r="370" spans="1:6" ht="15.75" customHeight="1" x14ac:dyDescent="0.25">
      <c r="A370" s="25"/>
      <c r="B370" s="25"/>
      <c r="C370" s="25"/>
      <c r="D370" s="25"/>
      <c r="E370" s="25"/>
      <c r="F370" s="25"/>
    </row>
    <row r="371" spans="1:6" ht="15.75" customHeight="1" x14ac:dyDescent="0.25">
      <c r="A371" s="25"/>
      <c r="B371" s="25"/>
      <c r="C371" s="25"/>
      <c r="D371" s="25"/>
      <c r="E371" s="25"/>
      <c r="F371" s="25"/>
    </row>
    <row r="372" spans="1:6" ht="15.75" customHeight="1" x14ac:dyDescent="0.25">
      <c r="A372" s="25"/>
      <c r="B372" s="25"/>
      <c r="C372" s="25"/>
      <c r="D372" s="25"/>
      <c r="E372" s="25"/>
      <c r="F372" s="25"/>
    </row>
    <row r="373" spans="1:6" ht="15.75" customHeight="1" x14ac:dyDescent="0.25">
      <c r="A373" s="25"/>
      <c r="B373" s="25"/>
      <c r="C373" s="25"/>
      <c r="D373" s="25"/>
      <c r="E373" s="25"/>
      <c r="F373" s="25"/>
    </row>
    <row r="374" spans="1:6" ht="15.75" customHeight="1" x14ac:dyDescent="0.25">
      <c r="A374" s="25"/>
      <c r="B374" s="25"/>
      <c r="C374" s="25"/>
      <c r="D374" s="25"/>
      <c r="E374" s="25"/>
      <c r="F374" s="25"/>
    </row>
    <row r="375" spans="1:6" ht="15.75" customHeight="1" x14ac:dyDescent="0.25">
      <c r="A375" s="25"/>
      <c r="B375" s="25"/>
      <c r="C375" s="25"/>
      <c r="D375" s="25"/>
      <c r="E375" s="25"/>
      <c r="F375" s="25"/>
    </row>
    <row r="376" spans="1:6" ht="15.75" customHeight="1" x14ac:dyDescent="0.25">
      <c r="A376" s="25"/>
      <c r="B376" s="25"/>
      <c r="C376" s="25"/>
      <c r="D376" s="25"/>
      <c r="E376" s="25"/>
      <c r="F376" s="25"/>
    </row>
    <row r="377" spans="1:6" ht="15.75" customHeight="1" x14ac:dyDescent="0.25">
      <c r="A377" s="25"/>
      <c r="B377" s="25"/>
      <c r="C377" s="25"/>
      <c r="D377" s="25"/>
      <c r="E377" s="25"/>
      <c r="F377" s="25"/>
    </row>
    <row r="378" spans="1:6" ht="15.75" customHeight="1" x14ac:dyDescent="0.25">
      <c r="A378" s="25"/>
      <c r="B378" s="25"/>
      <c r="C378" s="25"/>
      <c r="D378" s="25"/>
      <c r="E378" s="25"/>
      <c r="F378" s="25"/>
    </row>
    <row r="379" spans="1:6" ht="15.75" customHeight="1" x14ac:dyDescent="0.25">
      <c r="A379" s="25"/>
      <c r="B379" s="25"/>
      <c r="C379" s="25"/>
      <c r="D379" s="25"/>
      <c r="E379" s="25"/>
      <c r="F379" s="25"/>
    </row>
    <row r="380" spans="1:6" ht="15.75" customHeight="1" x14ac:dyDescent="0.25">
      <c r="A380" s="25"/>
      <c r="B380" s="25"/>
      <c r="C380" s="25"/>
      <c r="D380" s="25"/>
      <c r="E380" s="25"/>
      <c r="F380" s="25"/>
    </row>
    <row r="381" spans="1:6" ht="15.75" customHeight="1" x14ac:dyDescent="0.25">
      <c r="A381" s="25"/>
      <c r="B381" s="25"/>
      <c r="C381" s="25"/>
      <c r="D381" s="25"/>
      <c r="E381" s="25"/>
      <c r="F381" s="25"/>
    </row>
    <row r="382" spans="1:6" ht="15.75" customHeight="1" x14ac:dyDescent="0.25">
      <c r="A382" s="25"/>
      <c r="B382" s="25"/>
      <c r="C382" s="25"/>
      <c r="D382" s="25"/>
      <c r="E382" s="25"/>
      <c r="F382" s="25"/>
    </row>
    <row r="383" spans="1:6" ht="15.75" customHeight="1" x14ac:dyDescent="0.25">
      <c r="A383" s="25"/>
      <c r="B383" s="25"/>
      <c r="C383" s="25"/>
      <c r="D383" s="25"/>
      <c r="E383" s="25"/>
      <c r="F383" s="25"/>
    </row>
    <row r="384" spans="1:6" ht="15.75" customHeight="1" x14ac:dyDescent="0.25">
      <c r="A384" s="25"/>
      <c r="B384" s="25"/>
      <c r="C384" s="25"/>
      <c r="D384" s="25"/>
      <c r="E384" s="25"/>
      <c r="F384" s="25"/>
    </row>
    <row r="385" spans="1:6" ht="15.75" customHeight="1" x14ac:dyDescent="0.25">
      <c r="A385" s="25"/>
      <c r="B385" s="25"/>
      <c r="C385" s="25"/>
      <c r="D385" s="25"/>
      <c r="E385" s="25"/>
      <c r="F385" s="25"/>
    </row>
    <row r="386" spans="1:6" ht="15.75" customHeight="1" x14ac:dyDescent="0.25">
      <c r="A386" s="25"/>
      <c r="B386" s="25"/>
      <c r="C386" s="25"/>
      <c r="D386" s="25"/>
      <c r="E386" s="25"/>
      <c r="F386" s="25"/>
    </row>
    <row r="387" spans="1:6" ht="15.75" customHeight="1" x14ac:dyDescent="0.25">
      <c r="A387" s="25"/>
      <c r="B387" s="25"/>
      <c r="C387" s="25"/>
      <c r="D387" s="25"/>
      <c r="E387" s="25"/>
      <c r="F387" s="25"/>
    </row>
    <row r="388" spans="1:6" ht="15.75" customHeight="1" x14ac:dyDescent="0.25">
      <c r="A388" s="25"/>
      <c r="B388" s="25"/>
      <c r="C388" s="25"/>
      <c r="D388" s="25"/>
      <c r="E388" s="25"/>
      <c r="F388" s="25"/>
    </row>
    <row r="389" spans="1:6" ht="15.75" customHeight="1" x14ac:dyDescent="0.25">
      <c r="A389" s="25"/>
      <c r="B389" s="25"/>
      <c r="C389" s="25"/>
      <c r="D389" s="25"/>
      <c r="E389" s="25"/>
      <c r="F389" s="25"/>
    </row>
    <row r="390" spans="1:6" ht="15.75" customHeight="1" x14ac:dyDescent="0.25">
      <c r="A390" s="25"/>
      <c r="B390" s="25"/>
      <c r="C390" s="25"/>
      <c r="D390" s="25"/>
      <c r="E390" s="25"/>
      <c r="F390" s="25"/>
    </row>
    <row r="391" spans="1:6" ht="15.75" customHeight="1" x14ac:dyDescent="0.25">
      <c r="A391" s="25"/>
      <c r="B391" s="25"/>
      <c r="C391" s="25"/>
      <c r="D391" s="25"/>
      <c r="E391" s="25"/>
      <c r="F391" s="25"/>
    </row>
    <row r="392" spans="1:6" ht="15.75" customHeight="1" x14ac:dyDescent="0.25">
      <c r="A392" s="25"/>
      <c r="B392" s="25"/>
      <c r="C392" s="25"/>
      <c r="D392" s="25"/>
      <c r="E392" s="25"/>
      <c r="F392" s="25"/>
    </row>
    <row r="393" spans="1:6" ht="15.75" customHeight="1" x14ac:dyDescent="0.25">
      <c r="A393" s="25"/>
      <c r="B393" s="25"/>
      <c r="C393" s="25"/>
      <c r="D393" s="25"/>
      <c r="E393" s="25"/>
      <c r="F393" s="25"/>
    </row>
    <row r="394" spans="1:6" ht="15.75" customHeight="1" x14ac:dyDescent="0.25">
      <c r="A394" s="25"/>
      <c r="B394" s="25"/>
      <c r="C394" s="25"/>
      <c r="D394" s="25"/>
      <c r="E394" s="25"/>
      <c r="F394" s="25"/>
    </row>
    <row r="395" spans="1:6" ht="15.75" customHeight="1" x14ac:dyDescent="0.25">
      <c r="A395" s="25"/>
      <c r="B395" s="25"/>
      <c r="C395" s="25"/>
      <c r="D395" s="25"/>
      <c r="E395" s="25"/>
      <c r="F395" s="25"/>
    </row>
    <row r="396" spans="1:6" ht="15.75" customHeight="1" x14ac:dyDescent="0.25">
      <c r="A396" s="25"/>
      <c r="B396" s="25"/>
      <c r="C396" s="25"/>
      <c r="D396" s="25"/>
      <c r="E396" s="25"/>
      <c r="F396" s="25"/>
    </row>
    <row r="397" spans="1:6" ht="15.75" customHeight="1" x14ac:dyDescent="0.25">
      <c r="A397" s="25"/>
      <c r="B397" s="25"/>
      <c r="C397" s="25"/>
      <c r="D397" s="25"/>
      <c r="E397" s="25"/>
      <c r="F397" s="25"/>
    </row>
    <row r="398" spans="1:6" ht="15.75" customHeight="1" x14ac:dyDescent="0.25">
      <c r="A398" s="25"/>
      <c r="B398" s="25"/>
      <c r="C398" s="25"/>
      <c r="D398" s="25"/>
      <c r="E398" s="25"/>
      <c r="F398" s="25"/>
    </row>
    <row r="399" spans="1:6" ht="15.75" customHeight="1" x14ac:dyDescent="0.25">
      <c r="A399" s="25"/>
      <c r="B399" s="25"/>
      <c r="C399" s="25"/>
      <c r="D399" s="25"/>
      <c r="E399" s="25"/>
      <c r="F399" s="25"/>
    </row>
    <row r="400" spans="1:6" ht="15.75" customHeight="1" x14ac:dyDescent="0.25">
      <c r="A400" s="25"/>
      <c r="B400" s="25"/>
      <c r="C400" s="25"/>
      <c r="D400" s="25"/>
      <c r="E400" s="25"/>
      <c r="F400" s="25"/>
    </row>
    <row r="401" spans="1:6" ht="15.75" customHeight="1" x14ac:dyDescent="0.25">
      <c r="A401" s="25"/>
      <c r="B401" s="25"/>
      <c r="C401" s="25"/>
      <c r="D401" s="25"/>
      <c r="E401" s="25"/>
      <c r="F401" s="25"/>
    </row>
    <row r="402" spans="1:6" ht="15.75" customHeight="1" x14ac:dyDescent="0.25">
      <c r="A402" s="25"/>
      <c r="B402" s="25"/>
      <c r="C402" s="25"/>
      <c r="D402" s="25"/>
      <c r="E402" s="25"/>
      <c r="F402" s="25"/>
    </row>
    <row r="403" spans="1:6" ht="15.75" customHeight="1" x14ac:dyDescent="0.25">
      <c r="A403" s="25"/>
      <c r="B403" s="25"/>
      <c r="C403" s="25"/>
      <c r="D403" s="25"/>
      <c r="E403" s="25"/>
      <c r="F403" s="25"/>
    </row>
    <row r="404" spans="1:6" ht="15.75" customHeight="1" x14ac:dyDescent="0.25">
      <c r="A404" s="25"/>
      <c r="B404" s="25"/>
      <c r="C404" s="25"/>
      <c r="D404" s="25"/>
      <c r="E404" s="25"/>
      <c r="F404" s="25"/>
    </row>
    <row r="405" spans="1:6" ht="15.75" customHeight="1" x14ac:dyDescent="0.25">
      <c r="A405" s="25"/>
      <c r="B405" s="25"/>
      <c r="C405" s="25"/>
      <c r="D405" s="25"/>
      <c r="E405" s="25"/>
      <c r="F405" s="25"/>
    </row>
    <row r="406" spans="1:6" ht="15.75" customHeight="1" x14ac:dyDescent="0.25">
      <c r="A406" s="25"/>
      <c r="B406" s="25"/>
      <c r="C406" s="25"/>
      <c r="D406" s="25"/>
      <c r="E406" s="25"/>
      <c r="F406" s="25"/>
    </row>
    <row r="407" spans="1:6" ht="15.75" customHeight="1" x14ac:dyDescent="0.25">
      <c r="A407" s="25"/>
      <c r="B407" s="25"/>
      <c r="C407" s="25"/>
      <c r="D407" s="25"/>
      <c r="E407" s="25"/>
      <c r="F407" s="25"/>
    </row>
    <row r="408" spans="1:6" ht="15.75" customHeight="1" x14ac:dyDescent="0.25">
      <c r="A408" s="25"/>
      <c r="B408" s="25"/>
      <c r="C408" s="25"/>
      <c r="D408" s="25"/>
      <c r="E408" s="25"/>
      <c r="F408" s="25"/>
    </row>
    <row r="409" spans="1:6" ht="15.75" customHeight="1" x14ac:dyDescent="0.25">
      <c r="A409" s="25"/>
      <c r="B409" s="25"/>
      <c r="C409" s="25"/>
      <c r="D409" s="25"/>
      <c r="E409" s="25"/>
      <c r="F409" s="25"/>
    </row>
    <row r="410" spans="1:6" ht="15.75" customHeight="1" x14ac:dyDescent="0.25">
      <c r="A410" s="25"/>
      <c r="B410" s="25"/>
      <c r="C410" s="25"/>
      <c r="D410" s="25"/>
      <c r="E410" s="25"/>
      <c r="F410" s="25"/>
    </row>
    <row r="411" spans="1:6" ht="15.75" customHeight="1" x14ac:dyDescent="0.25">
      <c r="A411" s="25"/>
      <c r="B411" s="25"/>
      <c r="C411" s="25"/>
      <c r="D411" s="25"/>
      <c r="E411" s="25"/>
      <c r="F411" s="25"/>
    </row>
    <row r="412" spans="1:6" ht="15.75" customHeight="1" x14ac:dyDescent="0.25">
      <c r="A412" s="25"/>
      <c r="B412" s="25"/>
      <c r="C412" s="25"/>
      <c r="D412" s="25"/>
      <c r="E412" s="25"/>
      <c r="F412" s="25"/>
    </row>
    <row r="413" spans="1:6" ht="15.75" customHeight="1" x14ac:dyDescent="0.25">
      <c r="A413" s="25"/>
      <c r="B413" s="25"/>
      <c r="C413" s="25"/>
      <c r="D413" s="25"/>
      <c r="E413" s="25"/>
      <c r="F413" s="25"/>
    </row>
    <row r="414" spans="1:6" ht="15.75" customHeight="1" x14ac:dyDescent="0.25">
      <c r="A414" s="25"/>
      <c r="B414" s="25"/>
      <c r="C414" s="25"/>
      <c r="D414" s="25"/>
      <c r="E414" s="25"/>
      <c r="F414" s="25"/>
    </row>
    <row r="415" spans="1:6" ht="15.75" customHeight="1" x14ac:dyDescent="0.25">
      <c r="A415" s="25"/>
      <c r="B415" s="25"/>
      <c r="C415" s="25"/>
      <c r="D415" s="25"/>
      <c r="E415" s="25"/>
      <c r="F415" s="25"/>
    </row>
    <row r="416" spans="1:6" ht="15.75" customHeight="1" x14ac:dyDescent="0.25">
      <c r="A416" s="25"/>
      <c r="B416" s="25"/>
      <c r="C416" s="25"/>
      <c r="D416" s="25"/>
      <c r="E416" s="25"/>
      <c r="F416" s="25"/>
    </row>
    <row r="417" spans="1:6" ht="15.75" customHeight="1" x14ac:dyDescent="0.25">
      <c r="A417" s="25"/>
      <c r="B417" s="25"/>
      <c r="C417" s="25"/>
      <c r="D417" s="25"/>
      <c r="E417" s="25"/>
      <c r="F417" s="25"/>
    </row>
    <row r="418" spans="1:6" ht="15.75" customHeight="1" x14ac:dyDescent="0.25">
      <c r="A418" s="25"/>
      <c r="B418" s="25"/>
      <c r="C418" s="25"/>
      <c r="D418" s="25"/>
      <c r="E418" s="25"/>
      <c r="F418" s="25"/>
    </row>
    <row r="419" spans="1:6" ht="15.75" customHeight="1" x14ac:dyDescent="0.25">
      <c r="A419" s="25"/>
      <c r="B419" s="25"/>
      <c r="C419" s="25"/>
      <c r="D419" s="25"/>
      <c r="E419" s="25"/>
      <c r="F419" s="25"/>
    </row>
    <row r="420" spans="1:6" ht="15.75" customHeight="1" x14ac:dyDescent="0.25">
      <c r="A420" s="25"/>
      <c r="B420" s="25"/>
      <c r="C420" s="25"/>
      <c r="D420" s="25"/>
      <c r="E420" s="25"/>
      <c r="F420" s="25"/>
    </row>
    <row r="421" spans="1:6" ht="15.75" customHeight="1" x14ac:dyDescent="0.25">
      <c r="A421" s="25"/>
      <c r="B421" s="25"/>
      <c r="C421" s="25"/>
      <c r="D421" s="25"/>
      <c r="E421" s="25"/>
      <c r="F421" s="25"/>
    </row>
    <row r="422" spans="1:6" ht="15.75" customHeight="1" x14ac:dyDescent="0.25">
      <c r="A422" s="25"/>
      <c r="B422" s="25"/>
      <c r="C422" s="25"/>
      <c r="D422" s="25"/>
      <c r="E422" s="25"/>
      <c r="F422" s="25"/>
    </row>
    <row r="423" spans="1:6" ht="15.75" customHeight="1" x14ac:dyDescent="0.25">
      <c r="A423" s="25"/>
      <c r="B423" s="25"/>
      <c r="C423" s="25"/>
      <c r="D423" s="25"/>
      <c r="E423" s="25"/>
      <c r="F423" s="25"/>
    </row>
    <row r="424" spans="1:6" ht="15.75" customHeight="1" x14ac:dyDescent="0.25">
      <c r="A424" s="25"/>
      <c r="B424" s="25"/>
      <c r="C424" s="25"/>
      <c r="D424" s="25"/>
      <c r="E424" s="25"/>
      <c r="F424" s="25"/>
    </row>
    <row r="425" spans="1:6" ht="15.75" customHeight="1" x14ac:dyDescent="0.25">
      <c r="A425" s="25"/>
      <c r="B425" s="25"/>
      <c r="C425" s="25"/>
      <c r="D425" s="25"/>
      <c r="E425" s="25"/>
      <c r="F425" s="25"/>
    </row>
    <row r="426" spans="1:6" ht="15.75" customHeight="1" x14ac:dyDescent="0.25">
      <c r="A426" s="25"/>
      <c r="B426" s="25"/>
      <c r="C426" s="25"/>
      <c r="D426" s="25"/>
      <c r="E426" s="25"/>
      <c r="F426" s="25"/>
    </row>
    <row r="427" spans="1:6" ht="15.75" customHeight="1" x14ac:dyDescent="0.25">
      <c r="A427" s="25"/>
      <c r="B427" s="25"/>
      <c r="C427" s="25"/>
      <c r="D427" s="25"/>
      <c r="E427" s="25"/>
      <c r="F427" s="25"/>
    </row>
    <row r="428" spans="1:6" ht="15.75" customHeight="1" x14ac:dyDescent="0.25">
      <c r="A428" s="25"/>
      <c r="B428" s="25"/>
      <c r="C428" s="25"/>
      <c r="D428" s="25"/>
      <c r="E428" s="25"/>
      <c r="F428" s="25"/>
    </row>
    <row r="429" spans="1:6" ht="15.75" customHeight="1" x14ac:dyDescent="0.25">
      <c r="A429" s="25"/>
      <c r="B429" s="25"/>
      <c r="C429" s="25"/>
      <c r="D429" s="25"/>
      <c r="E429" s="25"/>
      <c r="F429" s="25"/>
    </row>
    <row r="430" spans="1:6" ht="15.75" customHeight="1" x14ac:dyDescent="0.25">
      <c r="A430" s="25"/>
      <c r="B430" s="25"/>
      <c r="C430" s="25"/>
      <c r="D430" s="25"/>
      <c r="E430" s="25"/>
      <c r="F430" s="25"/>
    </row>
    <row r="431" spans="1:6" ht="15.75" customHeight="1" x14ac:dyDescent="0.25">
      <c r="A431" s="25"/>
      <c r="B431" s="25"/>
      <c r="C431" s="25"/>
      <c r="D431" s="25"/>
      <c r="E431" s="25"/>
      <c r="F431" s="25"/>
    </row>
    <row r="432" spans="1:6" ht="15.75" customHeight="1" x14ac:dyDescent="0.25">
      <c r="A432" s="25"/>
      <c r="B432" s="25"/>
      <c r="C432" s="25"/>
      <c r="D432" s="25"/>
      <c r="E432" s="25"/>
      <c r="F432" s="25"/>
    </row>
    <row r="433" spans="1:6" ht="15.75" customHeight="1" x14ac:dyDescent="0.25">
      <c r="A433" s="25"/>
      <c r="B433" s="25"/>
      <c r="C433" s="25"/>
      <c r="D433" s="25"/>
      <c r="E433" s="25"/>
      <c r="F433" s="25"/>
    </row>
    <row r="434" spans="1:6" ht="15.75" customHeight="1" x14ac:dyDescent="0.25">
      <c r="A434" s="25"/>
      <c r="B434" s="25"/>
      <c r="C434" s="25"/>
      <c r="D434" s="25"/>
      <c r="E434" s="25"/>
      <c r="F434" s="25"/>
    </row>
    <row r="435" spans="1:6" ht="15.75" customHeight="1" x14ac:dyDescent="0.25">
      <c r="A435" s="25"/>
      <c r="B435" s="25"/>
      <c r="C435" s="25"/>
      <c r="D435" s="25"/>
      <c r="E435" s="25"/>
      <c r="F435" s="25"/>
    </row>
    <row r="436" spans="1:6" ht="15.75" customHeight="1" x14ac:dyDescent="0.25">
      <c r="A436" s="25"/>
      <c r="B436" s="25"/>
      <c r="C436" s="25"/>
      <c r="D436" s="25"/>
      <c r="E436" s="25"/>
      <c r="F436" s="25"/>
    </row>
    <row r="437" spans="1:6" ht="15.75" customHeight="1" x14ac:dyDescent="0.25">
      <c r="A437" s="25"/>
      <c r="B437" s="25"/>
      <c r="C437" s="25"/>
      <c r="D437" s="25"/>
      <c r="E437" s="25"/>
      <c r="F437" s="25"/>
    </row>
    <row r="438" spans="1:6" ht="15.75" customHeight="1" x14ac:dyDescent="0.25">
      <c r="A438" s="25"/>
      <c r="B438" s="25"/>
      <c r="C438" s="25"/>
      <c r="D438" s="25"/>
      <c r="E438" s="25"/>
      <c r="F438" s="25"/>
    </row>
    <row r="439" spans="1:6" ht="15.75" customHeight="1" x14ac:dyDescent="0.25">
      <c r="A439" s="25"/>
      <c r="B439" s="25"/>
      <c r="C439" s="25"/>
      <c r="D439" s="25"/>
      <c r="E439" s="25"/>
      <c r="F439" s="25"/>
    </row>
    <row r="440" spans="1:6" ht="15.75" customHeight="1" x14ac:dyDescent="0.25">
      <c r="A440" s="25"/>
      <c r="B440" s="25"/>
      <c r="C440" s="25"/>
      <c r="D440" s="25"/>
      <c r="E440" s="25"/>
      <c r="F440" s="25"/>
    </row>
    <row r="441" spans="1:6" ht="15.75" customHeight="1" x14ac:dyDescent="0.25">
      <c r="A441" s="25"/>
      <c r="B441" s="25"/>
      <c r="C441" s="25"/>
      <c r="D441" s="25"/>
      <c r="E441" s="25"/>
      <c r="F441" s="25"/>
    </row>
    <row r="442" spans="1:6" ht="15.75" customHeight="1" x14ac:dyDescent="0.25">
      <c r="A442" s="25"/>
      <c r="B442" s="25"/>
      <c r="C442" s="25"/>
      <c r="D442" s="25"/>
      <c r="E442" s="25"/>
      <c r="F442" s="25"/>
    </row>
    <row r="443" spans="1:6" ht="15.75" customHeight="1" x14ac:dyDescent="0.25">
      <c r="A443" s="25"/>
      <c r="B443" s="25"/>
      <c r="C443" s="25"/>
      <c r="D443" s="25"/>
      <c r="E443" s="25"/>
      <c r="F443" s="25"/>
    </row>
    <row r="444" spans="1:6" ht="15.75" customHeight="1" x14ac:dyDescent="0.25">
      <c r="A444" s="25"/>
      <c r="B444" s="25"/>
      <c r="C444" s="25"/>
      <c r="D444" s="25"/>
      <c r="E444" s="25"/>
      <c r="F444" s="25"/>
    </row>
    <row r="445" spans="1:6" ht="15.75" customHeight="1" x14ac:dyDescent="0.25">
      <c r="A445" s="25"/>
      <c r="B445" s="25"/>
      <c r="C445" s="25"/>
      <c r="D445" s="25"/>
      <c r="E445" s="25"/>
      <c r="F445" s="25"/>
    </row>
    <row r="446" spans="1:6" ht="15.75" customHeight="1" x14ac:dyDescent="0.25">
      <c r="A446" s="25"/>
      <c r="B446" s="25"/>
      <c r="C446" s="25"/>
      <c r="D446" s="25"/>
      <c r="E446" s="25"/>
      <c r="F446" s="25"/>
    </row>
    <row r="447" spans="1:6" ht="15.75" customHeight="1" x14ac:dyDescent="0.25">
      <c r="A447" s="25"/>
      <c r="B447" s="25"/>
      <c r="C447" s="25"/>
      <c r="D447" s="25"/>
      <c r="E447" s="25"/>
      <c r="F447" s="25"/>
    </row>
    <row r="448" spans="1:6" ht="15.75" customHeight="1" x14ac:dyDescent="0.25">
      <c r="A448" s="25"/>
      <c r="B448" s="25"/>
      <c r="C448" s="25"/>
      <c r="D448" s="25"/>
      <c r="E448" s="25"/>
      <c r="F448" s="25"/>
    </row>
    <row r="449" spans="1:6" ht="15.75" customHeight="1" x14ac:dyDescent="0.25">
      <c r="A449" s="25"/>
      <c r="B449" s="25"/>
      <c r="C449" s="25"/>
      <c r="D449" s="25"/>
      <c r="E449" s="25"/>
      <c r="F449" s="25"/>
    </row>
    <row r="450" spans="1:6" ht="15.75" customHeight="1" x14ac:dyDescent="0.25">
      <c r="A450" s="25"/>
      <c r="B450" s="25"/>
      <c r="C450" s="25"/>
      <c r="D450" s="25"/>
      <c r="E450" s="25"/>
      <c r="F450" s="25"/>
    </row>
    <row r="451" spans="1:6" ht="15.75" customHeight="1" x14ac:dyDescent="0.25">
      <c r="A451" s="25"/>
      <c r="B451" s="25"/>
      <c r="C451" s="25"/>
      <c r="D451" s="25"/>
      <c r="E451" s="25"/>
      <c r="F451" s="25"/>
    </row>
    <row r="452" spans="1:6" ht="15.75" customHeight="1" x14ac:dyDescent="0.25">
      <c r="A452" s="25"/>
      <c r="B452" s="25"/>
      <c r="C452" s="25"/>
      <c r="D452" s="25"/>
      <c r="E452" s="25"/>
      <c r="F452" s="25"/>
    </row>
    <row r="453" spans="1:6" ht="15.75" customHeight="1" x14ac:dyDescent="0.25">
      <c r="A453" s="25"/>
      <c r="B453" s="25"/>
      <c r="C453" s="25"/>
      <c r="D453" s="25"/>
      <c r="E453" s="25"/>
      <c r="F453" s="25"/>
    </row>
    <row r="454" spans="1:6" ht="15.75" customHeight="1" x14ac:dyDescent="0.25">
      <c r="A454" s="25"/>
      <c r="B454" s="25"/>
      <c r="C454" s="25"/>
      <c r="D454" s="25"/>
      <c r="E454" s="25"/>
      <c r="F454" s="25"/>
    </row>
    <row r="455" spans="1:6" ht="15.75" customHeight="1" x14ac:dyDescent="0.25">
      <c r="A455" s="25"/>
      <c r="B455" s="25"/>
      <c r="C455" s="25"/>
      <c r="D455" s="25"/>
      <c r="E455" s="25"/>
      <c r="F455" s="25"/>
    </row>
    <row r="456" spans="1:6" ht="15.75" customHeight="1" x14ac:dyDescent="0.25">
      <c r="A456" s="25"/>
      <c r="B456" s="25"/>
      <c r="C456" s="25"/>
      <c r="D456" s="25"/>
      <c r="E456" s="25"/>
      <c r="F456" s="25"/>
    </row>
    <row r="457" spans="1:6" ht="15.75" customHeight="1" x14ac:dyDescent="0.25">
      <c r="A457" s="25"/>
      <c r="B457" s="25"/>
      <c r="C457" s="25"/>
      <c r="D457" s="25"/>
      <c r="E457" s="25"/>
      <c r="F457" s="25"/>
    </row>
    <row r="458" spans="1:6" ht="15.75" customHeight="1" x14ac:dyDescent="0.25">
      <c r="A458" s="25"/>
      <c r="B458" s="25"/>
      <c r="C458" s="25"/>
      <c r="D458" s="25"/>
      <c r="E458" s="25"/>
      <c r="F458" s="25"/>
    </row>
    <row r="459" spans="1:6" ht="15.75" customHeight="1" x14ac:dyDescent="0.25">
      <c r="A459" s="25"/>
      <c r="B459" s="25"/>
      <c r="C459" s="25"/>
      <c r="D459" s="25"/>
      <c r="E459" s="25"/>
      <c r="F459" s="25"/>
    </row>
    <row r="460" spans="1:6" ht="15.75" customHeight="1" x14ac:dyDescent="0.25">
      <c r="A460" s="25"/>
      <c r="B460" s="25"/>
      <c r="C460" s="25"/>
      <c r="D460" s="25"/>
      <c r="E460" s="25"/>
      <c r="F460" s="25"/>
    </row>
    <row r="461" spans="1:6" ht="15.75" customHeight="1" x14ac:dyDescent="0.25">
      <c r="A461" s="25"/>
      <c r="B461" s="25"/>
      <c r="C461" s="25"/>
      <c r="D461" s="25"/>
      <c r="E461" s="25"/>
      <c r="F461" s="25"/>
    </row>
    <row r="462" spans="1:6" ht="15.75" customHeight="1" x14ac:dyDescent="0.25">
      <c r="A462" s="25"/>
      <c r="B462" s="25"/>
      <c r="C462" s="25"/>
      <c r="D462" s="25"/>
      <c r="E462" s="25"/>
      <c r="F462" s="25"/>
    </row>
    <row r="463" spans="1:6" ht="15.75" customHeight="1" x14ac:dyDescent="0.25">
      <c r="A463" s="25"/>
      <c r="B463" s="25"/>
      <c r="C463" s="25"/>
      <c r="D463" s="25"/>
      <c r="E463" s="25"/>
      <c r="F463" s="25"/>
    </row>
    <row r="464" spans="1:6" ht="15.75" customHeight="1" x14ac:dyDescent="0.25">
      <c r="A464" s="25"/>
      <c r="B464" s="25"/>
      <c r="C464" s="25"/>
      <c r="D464" s="25"/>
      <c r="E464" s="25"/>
      <c r="F464" s="25"/>
    </row>
    <row r="465" spans="1:6" ht="15.75" customHeight="1" x14ac:dyDescent="0.25">
      <c r="A465" s="25"/>
      <c r="B465" s="25"/>
      <c r="C465" s="25"/>
      <c r="D465" s="25"/>
      <c r="E465" s="25"/>
      <c r="F465" s="25"/>
    </row>
    <row r="466" spans="1:6" ht="15.75" customHeight="1" x14ac:dyDescent="0.25">
      <c r="A466" s="25"/>
      <c r="B466" s="25"/>
      <c r="C466" s="25"/>
      <c r="D466" s="25"/>
      <c r="E466" s="25"/>
      <c r="F466" s="25"/>
    </row>
    <row r="467" spans="1:6" ht="15.75" customHeight="1" x14ac:dyDescent="0.25">
      <c r="A467" s="25"/>
      <c r="B467" s="25"/>
      <c r="C467" s="25"/>
      <c r="D467" s="25"/>
      <c r="E467" s="25"/>
      <c r="F467" s="25"/>
    </row>
    <row r="468" spans="1:6" ht="15.75" customHeight="1" x14ac:dyDescent="0.25">
      <c r="A468" s="25"/>
      <c r="B468" s="25"/>
      <c r="C468" s="25"/>
      <c r="D468" s="25"/>
      <c r="E468" s="25"/>
      <c r="F468" s="25"/>
    </row>
    <row r="469" spans="1:6" ht="15.75" customHeight="1" x14ac:dyDescent="0.25">
      <c r="A469" s="25"/>
      <c r="B469" s="25"/>
      <c r="C469" s="25"/>
      <c r="D469" s="25"/>
      <c r="E469" s="25"/>
      <c r="F469" s="25"/>
    </row>
    <row r="470" spans="1:6" ht="15.75" customHeight="1" x14ac:dyDescent="0.25">
      <c r="A470" s="25"/>
      <c r="B470" s="25"/>
      <c r="C470" s="25"/>
      <c r="D470" s="25"/>
      <c r="E470" s="25"/>
      <c r="F470" s="25"/>
    </row>
    <row r="471" spans="1:6" ht="15.75" customHeight="1" x14ac:dyDescent="0.25">
      <c r="A471" s="25"/>
      <c r="B471" s="25"/>
      <c r="C471" s="25"/>
      <c r="D471" s="25"/>
      <c r="E471" s="25"/>
      <c r="F471" s="25"/>
    </row>
    <row r="472" spans="1:6" ht="15.75" customHeight="1" x14ac:dyDescent="0.25">
      <c r="A472" s="25"/>
      <c r="B472" s="25"/>
      <c r="C472" s="25"/>
      <c r="D472" s="25"/>
      <c r="E472" s="25"/>
      <c r="F472" s="25"/>
    </row>
    <row r="473" spans="1:6" ht="15.75" customHeight="1" x14ac:dyDescent="0.25">
      <c r="A473" s="25"/>
      <c r="B473" s="25"/>
      <c r="C473" s="25"/>
      <c r="D473" s="25"/>
      <c r="E473" s="25"/>
      <c r="F473" s="25"/>
    </row>
    <row r="474" spans="1:6" ht="15.75" customHeight="1" x14ac:dyDescent="0.25"/>
    <row r="475" spans="1:6" ht="15.75" customHeight="1" x14ac:dyDescent="0.25"/>
    <row r="476" spans="1:6" ht="15.75" customHeight="1" x14ac:dyDescent="0.25"/>
    <row r="477" spans="1:6" ht="15.75" customHeight="1" x14ac:dyDescent="0.25"/>
    <row r="478" spans="1:6" ht="15.75" customHeight="1" x14ac:dyDescent="0.25"/>
    <row r="479" spans="1:6" ht="15.75" customHeight="1" x14ac:dyDescent="0.25"/>
    <row r="480" spans="1:6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4">
    <mergeCell ref="B1:F1"/>
    <mergeCell ref="B2:F2"/>
    <mergeCell ref="A3:F3"/>
    <mergeCell ref="A4:F4"/>
  </mergeCells>
  <pageMargins left="0.39374999999999999" right="0.196527777777778" top="0.39374999999999999" bottom="0.39374999999999999" header="0" footer="0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6.140625" customWidth="1"/>
    <col min="2" max="2" width="55.28515625" customWidth="1"/>
    <col min="3" max="3" width="18.140625" customWidth="1"/>
    <col min="4" max="4" width="17.5703125" customWidth="1"/>
    <col min="5" max="5" width="15" customWidth="1"/>
    <col min="6" max="6" width="16.42578125" customWidth="1"/>
    <col min="7" max="25" width="8.7109375" customWidth="1"/>
  </cols>
  <sheetData>
    <row r="1" spans="1:26" ht="42.75" x14ac:dyDescent="0.25">
      <c r="A1" s="9" t="s">
        <v>0</v>
      </c>
      <c r="B1" s="9" t="s">
        <v>1</v>
      </c>
      <c r="C1" s="10" t="s">
        <v>369</v>
      </c>
      <c r="D1" s="10" t="s">
        <v>370</v>
      </c>
      <c r="E1" s="11" t="s">
        <v>2</v>
      </c>
      <c r="F1" s="11" t="s">
        <v>371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x14ac:dyDescent="0.25">
      <c r="A2" s="3">
        <v>1</v>
      </c>
      <c r="B2" s="6" t="s">
        <v>372</v>
      </c>
      <c r="C2" s="12" t="e">
        <f>SUM(Материалы!#REF!)</f>
        <v>#REF!</v>
      </c>
      <c r="D2" s="5" t="e">
        <f t="shared" ref="D2:D17" si="0">C2*90%</f>
        <v>#REF!</v>
      </c>
      <c r="E2" s="5" t="e">
        <f>SUM(Материалы!#REF!)</f>
        <v>#REF!</v>
      </c>
      <c r="F2" s="5" t="e">
        <f>E2*57%</f>
        <v>#REF!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>
        <v>2</v>
      </c>
      <c r="B3" s="6" t="s">
        <v>3</v>
      </c>
      <c r="C3" s="12" t="e">
        <f>SUM(Материалы!#REF!)</f>
        <v>#REF!</v>
      </c>
      <c r="D3" s="5" t="e">
        <f t="shared" si="0"/>
        <v>#REF!</v>
      </c>
      <c r="E3" s="5" t="e">
        <f>SUM(Материалы!#REF!)</f>
        <v>#REF!</v>
      </c>
      <c r="F3" s="5" t="e">
        <f t="shared" ref="F3:F35" si="1">E3*65%</f>
        <v>#REF!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>
        <v>3</v>
      </c>
      <c r="B4" s="6" t="s">
        <v>4</v>
      </c>
      <c r="C4" s="12" t="e">
        <f>SUM(Материалы!#REF!)</f>
        <v>#REF!</v>
      </c>
      <c r="D4" s="5" t="e">
        <f t="shared" si="0"/>
        <v>#REF!</v>
      </c>
      <c r="E4" s="5" t="e">
        <f>SUM(Материалы!#REF!)</f>
        <v>#REF!</v>
      </c>
      <c r="F4" s="5" t="e">
        <f t="shared" si="1"/>
        <v>#REF!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x14ac:dyDescent="0.25">
      <c r="A5" s="3">
        <v>4</v>
      </c>
      <c r="B5" s="4" t="s">
        <v>5</v>
      </c>
      <c r="C5" s="12" t="e">
        <f>SUM(Материалы!#REF!)</f>
        <v>#REF!</v>
      </c>
      <c r="D5" s="5" t="e">
        <f t="shared" si="0"/>
        <v>#REF!</v>
      </c>
      <c r="E5" s="5" t="e">
        <f>SUM(Материалы!#REF!)</f>
        <v>#REF!</v>
      </c>
      <c r="F5" s="5" t="e">
        <f t="shared" si="1"/>
        <v>#REF!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>
        <v>5</v>
      </c>
      <c r="B6" s="4" t="s">
        <v>6</v>
      </c>
      <c r="C6" s="12" t="e">
        <f>SUM(Материалы!#REF!)</f>
        <v>#REF!</v>
      </c>
      <c r="D6" s="5" t="e">
        <f t="shared" si="0"/>
        <v>#REF!</v>
      </c>
      <c r="E6" s="5" t="e">
        <f>SUM(Материалы!#REF!)</f>
        <v>#REF!</v>
      </c>
      <c r="F6" s="5" t="e">
        <f t="shared" si="1"/>
        <v>#REF!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>
        <v>6</v>
      </c>
      <c r="B7" s="6" t="s">
        <v>7</v>
      </c>
      <c r="C7" s="12" t="e">
        <f>SUM(Материалы!#REF!)</f>
        <v>#REF!</v>
      </c>
      <c r="D7" s="5" t="e">
        <f t="shared" si="0"/>
        <v>#REF!</v>
      </c>
      <c r="E7" s="5" t="e">
        <f>SUM(Материалы!#REF!)</f>
        <v>#REF!</v>
      </c>
      <c r="F7" s="5" t="e">
        <f t="shared" si="1"/>
        <v>#REF!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>
        <v>7</v>
      </c>
      <c r="B8" s="6" t="s">
        <v>8</v>
      </c>
      <c r="C8" s="12" t="e">
        <f>SUM(Материалы!#REF!)</f>
        <v>#REF!</v>
      </c>
      <c r="D8" s="5" t="e">
        <f t="shared" si="0"/>
        <v>#REF!</v>
      </c>
      <c r="E8" s="5" t="e">
        <f>SUM(Материалы!#REF!)</f>
        <v>#REF!</v>
      </c>
      <c r="F8" s="5" t="e">
        <f t="shared" si="1"/>
        <v>#REF!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>
        <v>8</v>
      </c>
      <c r="B9" s="4" t="s">
        <v>9</v>
      </c>
      <c r="C9" s="12" t="e">
        <f>SUM(Материалы!#REF!)</f>
        <v>#REF!</v>
      </c>
      <c r="D9" s="5" t="e">
        <f t="shared" si="0"/>
        <v>#REF!</v>
      </c>
      <c r="E9" s="5" t="e">
        <f>SUM(Материалы!#REF!)</f>
        <v>#REF!</v>
      </c>
      <c r="F9" s="5" t="e">
        <f t="shared" si="1"/>
        <v>#REF!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>
        <v>9</v>
      </c>
      <c r="B10" s="6" t="s">
        <v>10</v>
      </c>
      <c r="C10" s="12"/>
      <c r="D10" s="5">
        <f t="shared" si="0"/>
        <v>0</v>
      </c>
      <c r="E10" s="5" t="e">
        <f>SUM(Материалы!#REF!)</f>
        <v>#REF!</v>
      </c>
      <c r="F10" s="5" t="e">
        <f t="shared" si="1"/>
        <v>#REF!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>
        <v>10</v>
      </c>
      <c r="B11" s="6" t="s">
        <v>11</v>
      </c>
      <c r="C11" s="12" t="e">
        <f>SUM(Материалы!#REF!)</f>
        <v>#REF!</v>
      </c>
      <c r="D11" s="5" t="e">
        <f t="shared" si="0"/>
        <v>#REF!</v>
      </c>
      <c r="E11" s="5" t="e">
        <f>SUM(Материалы!#REF!)</f>
        <v>#REF!</v>
      </c>
      <c r="F11" s="5" t="e">
        <f t="shared" si="1"/>
        <v>#REF!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>
        <v>11</v>
      </c>
      <c r="B12" s="6" t="s">
        <v>12</v>
      </c>
      <c r="C12" s="12" t="e">
        <f>SUM(Материалы!#REF!)</f>
        <v>#REF!</v>
      </c>
      <c r="D12" s="5" t="e">
        <f t="shared" si="0"/>
        <v>#REF!</v>
      </c>
      <c r="E12" s="5" t="e">
        <f>SUM(Материалы!#REF!)</f>
        <v>#REF!</v>
      </c>
      <c r="F12" s="5" t="e">
        <f t="shared" si="1"/>
        <v>#REF!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">
        <v>12</v>
      </c>
      <c r="B13" s="6" t="s">
        <v>13</v>
      </c>
      <c r="C13" s="12" t="e">
        <f>SUM(Материалы!#REF!)</f>
        <v>#REF!</v>
      </c>
      <c r="D13" s="5" t="e">
        <f t="shared" si="0"/>
        <v>#REF!</v>
      </c>
      <c r="E13" s="5" t="e">
        <f>SUM(Материалы!#REF!)</f>
        <v>#REF!</v>
      </c>
      <c r="F13" s="5" t="e">
        <f t="shared" si="1"/>
        <v>#REF!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">
        <v>13</v>
      </c>
      <c r="B14" s="6" t="s">
        <v>14</v>
      </c>
      <c r="C14" s="12"/>
      <c r="D14" s="5">
        <f t="shared" si="0"/>
        <v>0</v>
      </c>
      <c r="E14" s="5"/>
      <c r="F14" s="5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x14ac:dyDescent="0.25">
      <c r="A15" s="3">
        <v>14</v>
      </c>
      <c r="B15" s="4" t="s">
        <v>15</v>
      </c>
      <c r="C15" s="12" t="e">
        <f>SUM(Материалы!#REF!)</f>
        <v>#REF!</v>
      </c>
      <c r="D15" s="5" t="e">
        <f t="shared" si="0"/>
        <v>#REF!</v>
      </c>
      <c r="E15" s="5" t="e">
        <f>SUM(Материалы!#REF!)</f>
        <v>#REF!</v>
      </c>
      <c r="F15" s="5" t="e">
        <f t="shared" si="1"/>
        <v>#REF!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3">
        <v>15</v>
      </c>
      <c r="B16" s="6" t="s">
        <v>17</v>
      </c>
      <c r="C16" s="12" t="e">
        <f>SUM(Материалы!#REF!)</f>
        <v>#REF!</v>
      </c>
      <c r="D16" s="5" t="e">
        <f t="shared" si="0"/>
        <v>#REF!</v>
      </c>
      <c r="E16" s="5" t="e">
        <f>SUM(Материалы!#REF!)</f>
        <v>#REF!</v>
      </c>
      <c r="F16" s="5" t="e">
        <f t="shared" si="1"/>
        <v>#REF!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3">
        <v>16</v>
      </c>
      <c r="B17" s="6" t="s">
        <v>18</v>
      </c>
      <c r="C17" s="12" t="e">
        <f>SUM(Материалы!#REF!)</f>
        <v>#REF!</v>
      </c>
      <c r="D17" s="5" t="e">
        <f t="shared" si="0"/>
        <v>#REF!</v>
      </c>
      <c r="E17" s="5" t="e">
        <f>SUM(Материалы!#REF!)</f>
        <v>#REF!</v>
      </c>
      <c r="F17" s="5" t="e">
        <f t="shared" si="1"/>
        <v>#REF!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x14ac:dyDescent="0.25">
      <c r="A18" s="3"/>
      <c r="B18" s="4" t="s">
        <v>19</v>
      </c>
      <c r="C18" s="13" t="s">
        <v>373</v>
      </c>
      <c r="D18" s="5"/>
      <c r="E18" s="14"/>
      <c r="F18" s="5">
        <f t="shared" si="1"/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3">
        <v>17</v>
      </c>
      <c r="B19" s="6" t="s">
        <v>20</v>
      </c>
      <c r="C19" s="12" t="e">
        <f>SUM(Материалы!#REF!)</f>
        <v>#REF!</v>
      </c>
      <c r="D19" s="5" t="e">
        <f t="shared" ref="D19:D21" si="2">C19*90%</f>
        <v>#REF!</v>
      </c>
      <c r="E19" s="5" t="e">
        <f>SUM(Материалы!#REF!)</f>
        <v>#REF!</v>
      </c>
      <c r="F19" s="5" t="e">
        <f t="shared" si="1"/>
        <v>#REF!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3">
        <v>18</v>
      </c>
      <c r="B20" s="6" t="s">
        <v>21</v>
      </c>
      <c r="C20" s="12" t="e">
        <f>SUM(Материалы!#REF!)</f>
        <v>#REF!</v>
      </c>
      <c r="D20" s="5" t="e">
        <f t="shared" si="2"/>
        <v>#REF!</v>
      </c>
      <c r="E20" s="5" t="e">
        <f>SUM(Материалы!#REF!)</f>
        <v>#REF!</v>
      </c>
      <c r="F20" s="5" t="e">
        <f t="shared" si="1"/>
        <v>#REF!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3">
        <v>19</v>
      </c>
      <c r="B21" s="6" t="s">
        <v>22</v>
      </c>
      <c r="C21" s="12" t="e">
        <f>SUM(Материалы!#REF!)</f>
        <v>#REF!</v>
      </c>
      <c r="D21" s="5" t="e">
        <f t="shared" si="2"/>
        <v>#REF!</v>
      </c>
      <c r="E21" s="5" t="e">
        <f>SUM(Материалы!#REF!)</f>
        <v>#REF!</v>
      </c>
      <c r="F21" s="5" t="e">
        <f t="shared" si="1"/>
        <v>#REF!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3">
        <v>20</v>
      </c>
      <c r="B22" s="6" t="s">
        <v>23</v>
      </c>
      <c r="C22" s="12" t="s">
        <v>374</v>
      </c>
      <c r="D22" s="5"/>
      <c r="E22" s="5" t="e">
        <f>SUM(Материалы!#REF!)</f>
        <v>#REF!</v>
      </c>
      <c r="F22" s="5" t="e">
        <f t="shared" si="1"/>
        <v>#REF!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3">
        <v>21</v>
      </c>
      <c r="B23" s="6" t="s">
        <v>24</v>
      </c>
      <c r="C23" s="12"/>
      <c r="D23" s="5">
        <f t="shared" ref="D23:D35" si="3">C23*90%</f>
        <v>0</v>
      </c>
      <c r="E23" s="5" t="e">
        <f>SUM(Материалы!#REF!)</f>
        <v>#REF!</v>
      </c>
      <c r="F23" s="5" t="e">
        <f t="shared" si="1"/>
        <v>#REF!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3">
        <v>22</v>
      </c>
      <c r="B24" s="6" t="s">
        <v>25</v>
      </c>
      <c r="C24" s="12" t="e">
        <f>SUM(Материалы!#REF!)</f>
        <v>#REF!</v>
      </c>
      <c r="D24" s="5" t="e">
        <f t="shared" si="3"/>
        <v>#REF!</v>
      </c>
      <c r="E24" s="5" t="e">
        <f>SUM(Материалы!#REF!)</f>
        <v>#REF!</v>
      </c>
      <c r="F24" s="5" t="e">
        <f t="shared" si="1"/>
        <v>#REF!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3">
        <v>23</v>
      </c>
      <c r="B25" s="6" t="s">
        <v>26</v>
      </c>
      <c r="C25" s="12" t="e">
        <f>SUM(Материалы!#REF!)</f>
        <v>#REF!</v>
      </c>
      <c r="D25" s="5" t="e">
        <f t="shared" si="3"/>
        <v>#REF!</v>
      </c>
      <c r="E25" s="5" t="e">
        <f>SUM(Материалы!#REF!)</f>
        <v>#REF!</v>
      </c>
      <c r="F25" s="5" t="e">
        <f t="shared" si="1"/>
        <v>#REF!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3">
        <v>24</v>
      </c>
      <c r="B26" s="6" t="s">
        <v>27</v>
      </c>
      <c r="C26" s="12" t="e">
        <f>SUM(Материалы!#REF!)</f>
        <v>#REF!</v>
      </c>
      <c r="D26" s="5" t="e">
        <f t="shared" si="3"/>
        <v>#REF!</v>
      </c>
      <c r="E26" s="5" t="e">
        <f>SUM(Материалы!#REF!)</f>
        <v>#REF!</v>
      </c>
      <c r="F26" s="5" t="e">
        <f t="shared" si="1"/>
        <v>#REF!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3">
        <v>25</v>
      </c>
      <c r="B27" s="6" t="s">
        <v>28</v>
      </c>
      <c r="C27" s="12" t="e">
        <f>SUM(Материалы!#REF!)</f>
        <v>#REF!</v>
      </c>
      <c r="D27" s="5" t="e">
        <f t="shared" si="3"/>
        <v>#REF!</v>
      </c>
      <c r="E27" s="5" t="e">
        <f>SUM(Материалы!#REF!)</f>
        <v>#REF!</v>
      </c>
      <c r="F27" s="5" t="e">
        <f t="shared" si="1"/>
        <v>#REF!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3">
        <v>26</v>
      </c>
      <c r="B28" s="6" t="s">
        <v>29</v>
      </c>
      <c r="C28" s="5" t="e">
        <f>SUM(Материалы!#REF!)</f>
        <v>#REF!</v>
      </c>
      <c r="D28" s="5" t="e">
        <f t="shared" si="3"/>
        <v>#REF!</v>
      </c>
      <c r="E28" s="5" t="e">
        <f>SUM(Материалы!#REF!)</f>
        <v>#REF!</v>
      </c>
      <c r="F28" s="5" t="e">
        <f t="shared" si="1"/>
        <v>#REF!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3">
        <v>27</v>
      </c>
      <c r="B29" s="6" t="s">
        <v>30</v>
      </c>
      <c r="C29" s="5" t="e">
        <f>SUM(Материалы!#REF!)</f>
        <v>#REF!</v>
      </c>
      <c r="D29" s="5" t="e">
        <f t="shared" si="3"/>
        <v>#REF!</v>
      </c>
      <c r="E29" s="5" t="e">
        <f>SUM(Материалы!#REF!)</f>
        <v>#REF!</v>
      </c>
      <c r="F29" s="5" t="e">
        <f t="shared" si="1"/>
        <v>#REF!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3">
        <v>28</v>
      </c>
      <c r="B30" s="6" t="s">
        <v>31</v>
      </c>
      <c r="C30" s="5" t="e">
        <f>SUM(Материалы!#REF!)</f>
        <v>#REF!</v>
      </c>
      <c r="D30" s="5" t="e">
        <f t="shared" si="3"/>
        <v>#REF!</v>
      </c>
      <c r="E30" s="5" t="e">
        <f>SUM(Материалы!#REF!)</f>
        <v>#REF!</v>
      </c>
      <c r="F30" s="5" t="e">
        <f t="shared" si="1"/>
        <v>#REF!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3">
        <v>29</v>
      </c>
      <c r="B31" s="6" t="s">
        <v>32</v>
      </c>
      <c r="C31" s="5" t="e">
        <f>SUM(Материалы!#REF!)</f>
        <v>#REF!</v>
      </c>
      <c r="D31" s="5" t="e">
        <f t="shared" si="3"/>
        <v>#REF!</v>
      </c>
      <c r="E31" s="5" t="e">
        <f>SUM(Материалы!#REF!)</f>
        <v>#REF!</v>
      </c>
      <c r="F31" s="5" t="e">
        <f t="shared" si="1"/>
        <v>#REF!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3">
        <v>30</v>
      </c>
      <c r="B32" s="6" t="s">
        <v>33</v>
      </c>
      <c r="C32" s="5" t="e">
        <f>SUM(Материалы!#REF!)</f>
        <v>#REF!</v>
      </c>
      <c r="D32" s="5" t="e">
        <f t="shared" si="3"/>
        <v>#REF!</v>
      </c>
      <c r="E32" s="5" t="e">
        <f>SUM(Материалы!#REF!)</f>
        <v>#REF!</v>
      </c>
      <c r="F32" s="5" t="e">
        <f t="shared" si="1"/>
        <v>#REF!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3">
        <v>31</v>
      </c>
      <c r="B33" s="6" t="s">
        <v>34</v>
      </c>
      <c r="C33" s="5" t="e">
        <f>SUM(Материалы!#REF!)</f>
        <v>#REF!</v>
      </c>
      <c r="D33" s="5" t="e">
        <f t="shared" si="3"/>
        <v>#REF!</v>
      </c>
      <c r="E33" s="5" t="e">
        <f>SUM(Материалы!#REF!)</f>
        <v>#REF!</v>
      </c>
      <c r="F33" s="5" t="e">
        <f t="shared" si="1"/>
        <v>#REF!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3">
        <v>32</v>
      </c>
      <c r="B34" s="6" t="s">
        <v>35</v>
      </c>
      <c r="C34" s="5" t="e">
        <f>SUM(Материалы!#REF!)</f>
        <v>#REF!</v>
      </c>
      <c r="D34" s="5" t="e">
        <f t="shared" si="3"/>
        <v>#REF!</v>
      </c>
      <c r="E34" s="5" t="e">
        <f>SUM(Материалы!#REF!)</f>
        <v>#REF!</v>
      </c>
      <c r="F34" s="5" t="e">
        <f t="shared" si="1"/>
        <v>#REF!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3">
        <v>33</v>
      </c>
      <c r="B35" s="6" t="s">
        <v>36</v>
      </c>
      <c r="C35" s="5" t="e">
        <f>SUM(Материалы!#REF!)</f>
        <v>#REF!</v>
      </c>
      <c r="D35" s="5" t="e">
        <f t="shared" si="3"/>
        <v>#REF!</v>
      </c>
      <c r="E35" s="5" t="e">
        <f>SUM(Материалы!#REF!)</f>
        <v>#REF!</v>
      </c>
      <c r="F35" s="5" t="e">
        <f t="shared" si="1"/>
        <v>#REF!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6"/>
      <c r="B36" s="6"/>
      <c r="C36" s="5"/>
      <c r="D36" s="5"/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6"/>
      <c r="B37" s="6"/>
      <c r="C37" s="5"/>
      <c r="D37" s="5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6"/>
      <c r="B38" s="6" t="s">
        <v>37</v>
      </c>
      <c r="C38" s="5" t="e">
        <f>SUM(C2:C37)</f>
        <v>#REF!</v>
      </c>
      <c r="D38" s="5" t="e">
        <f>SUM(D2:D35)</f>
        <v>#REF!</v>
      </c>
      <c r="E38" s="5" t="e">
        <f t="shared" ref="E38:F38" si="4">SUM(E2:E37)</f>
        <v>#REF!</v>
      </c>
      <c r="F38" s="5" t="e">
        <f t="shared" si="4"/>
        <v>#REF!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7"/>
      <c r="B39" s="7" t="s">
        <v>37</v>
      </c>
      <c r="C39" s="15" t="s">
        <v>375</v>
      </c>
      <c r="D39" s="16" t="e">
        <f>C38+E38</f>
        <v>#REF!</v>
      </c>
      <c r="E39" s="16" t="s">
        <v>376</v>
      </c>
      <c r="F39" s="17" t="e">
        <f>D38+F38</f>
        <v>#REF!</v>
      </c>
      <c r="G39" s="2" t="s">
        <v>377</v>
      </c>
      <c r="H39" s="18" t="e">
        <f>D39-F39</f>
        <v>#REF!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8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8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8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8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8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8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8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8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8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8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8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8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8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8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8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8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8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8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8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8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8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8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8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8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8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8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8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8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8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8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8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8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8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8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8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8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8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8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8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8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8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8"/>
      <c r="F89" s="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8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8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8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8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8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8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8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8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8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8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8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8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8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8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8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8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8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8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8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8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8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8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8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8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8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8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8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8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8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8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8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8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8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8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8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8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8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8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8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8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8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8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8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8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8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8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8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8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8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8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8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8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8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8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8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8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8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8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8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8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8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8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8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8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8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8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8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8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8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8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8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8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8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8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8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8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8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8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8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8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8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8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8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8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8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8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8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8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8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8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8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8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8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8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8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8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8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8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8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8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8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8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8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8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8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8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8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8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8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8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8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8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8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8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8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8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8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8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8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8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8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8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8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8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8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8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8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8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8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8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8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8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8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8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8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8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8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8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8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8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8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8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8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8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8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8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8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8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8"/>
      <c r="F238" s="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8"/>
      <c r="F239" s="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Материалы</vt:lpstr>
      <vt:lpstr>Расчеты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ZAPEVALOV</cp:lastModifiedBy>
  <cp:lastPrinted>2023-01-11T11:07:53Z</cp:lastPrinted>
  <dcterms:created xsi:type="dcterms:W3CDTF">2016-06-25T17:20:41Z</dcterms:created>
  <dcterms:modified xsi:type="dcterms:W3CDTF">2023-01-11T11:14:47Z</dcterms:modified>
</cp:coreProperties>
</file>