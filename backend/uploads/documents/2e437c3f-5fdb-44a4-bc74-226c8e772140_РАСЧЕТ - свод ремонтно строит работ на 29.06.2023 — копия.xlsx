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8970" windowHeight="768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" i="1" l="1"/>
  <c r="H25" i="1" l="1"/>
  <c r="G24" i="1"/>
  <c r="H24" i="1"/>
  <c r="F24" i="1"/>
  <c r="E24" i="1"/>
  <c r="H23" i="1"/>
  <c r="N24" i="1" l="1"/>
  <c r="P24" i="1"/>
  <c r="M24" i="1"/>
  <c r="P22" i="1"/>
  <c r="P6" i="1"/>
  <c r="P21" i="1"/>
  <c r="P20" i="1"/>
  <c r="H20" i="1"/>
  <c r="H10" i="1"/>
  <c r="H9" i="1"/>
  <c r="H7" i="1"/>
  <c r="H5" i="1"/>
  <c r="P15" i="1" l="1"/>
  <c r="P12" i="1"/>
  <c r="P25" i="1" l="1"/>
  <c r="P27" i="1" s="1"/>
</calcChain>
</file>

<file path=xl/sharedStrings.xml><?xml version="1.0" encoding="utf-8"?>
<sst xmlns="http://schemas.openxmlformats.org/spreadsheetml/2006/main" count="69" uniqueCount="53">
  <si>
    <t>ГПХ</t>
  </si>
  <si>
    <t>РАСХОД</t>
  </si>
  <si>
    <t>налоги</t>
  </si>
  <si>
    <t>итого</t>
  </si>
  <si>
    <t>ДОХОД</t>
  </si>
  <si>
    <t>дата</t>
  </si>
  <si>
    <t>поставщик/     подрядчик</t>
  </si>
  <si>
    <t>счет-оферта (материалы)</t>
  </si>
  <si>
    <t>Работы</t>
  </si>
  <si>
    <t>Монтаж системы электрообогрева водостоков кровли Административного здания и корпуса №1</t>
  </si>
  <si>
    <t>Работы по закладке дверных и оконных проемов в здании литер "Е</t>
  </si>
  <si>
    <t>В т.ч. Основит Брикформ МС11 F белый 010 смесь кладочная зимняя 25кг(71шт)</t>
  </si>
  <si>
    <t>ООО "СТД "ПЕТРОВИЧ"</t>
  </si>
  <si>
    <t xml:space="preserve">Приходный ордер № 5204950/1  </t>
  </si>
  <si>
    <t xml:space="preserve">Приходный ордер № 5204946/1  </t>
  </si>
  <si>
    <t>Приходный ордер № 5238059/26</t>
  </si>
  <si>
    <t>товары</t>
  </si>
  <si>
    <t xml:space="preserve">Приходный ордер № 5329611/26 </t>
  </si>
  <si>
    <t>ОЦ ОКНА ВЕКА ООО</t>
  </si>
  <si>
    <t>оконные изделия ПВХ</t>
  </si>
  <si>
    <t>покупатель/заказчик</t>
  </si>
  <si>
    <t>Работы по расчистке основания пола в здании литер Е</t>
  </si>
  <si>
    <t>Строков Игорь Александрович</t>
  </si>
  <si>
    <t>17.11.2022-01.12.2022</t>
  </si>
  <si>
    <t>ИТОГО расход:</t>
  </si>
  <si>
    <t>ИТОГО доход:</t>
  </si>
  <si>
    <t>25.01.2023- 31.01.2023</t>
  </si>
  <si>
    <t>Запевалов Михаил Николаевич</t>
  </si>
  <si>
    <t>Демонтажно-монтажные работы в корпусе литера "Е" согласно техническому заданию</t>
  </si>
  <si>
    <t>01.03.2023-15.03.2023</t>
  </si>
  <si>
    <t>Власов Александр Владимирович</t>
  </si>
  <si>
    <t>монтаж в/о, черновой гвс, хвс, устройство подстилающего слоя</t>
  </si>
  <si>
    <t>18.03.2023-24.03.2023</t>
  </si>
  <si>
    <t>Монтаж входных дверей (без отделки), черновые работы по устройству полов</t>
  </si>
  <si>
    <t>22.05.2023- 05.06.2023</t>
  </si>
  <si>
    <t>Богачук Сергей Николаевич</t>
  </si>
  <si>
    <t>Гипсокартонные работы</t>
  </si>
  <si>
    <t>ДОК</t>
  </si>
  <si>
    <t>Работы по отсыпке основания пола в помещении литер "Е"</t>
  </si>
  <si>
    <t>Демонтажные работы корпуса литера «Е» согласно техническому заданию</t>
  </si>
  <si>
    <t>Работы по выравниванию фундамента в здании литер "Е"</t>
  </si>
  <si>
    <t>Приходный ордер №3</t>
  </si>
  <si>
    <t>ООО "СТД "СТРОЙУДАЧА"</t>
  </si>
  <si>
    <t>15.05.2023-28.06.2023</t>
  </si>
  <si>
    <t>ИП Чернат Андрей Иванович</t>
  </si>
  <si>
    <t>Гипсокартонные работы согласно Техническому заданию к Договору № 210 от 15.05.2023</t>
  </si>
  <si>
    <t>Работы по прокладке водоснабжения и водоотведения в здании литер Е</t>
  </si>
  <si>
    <t>//оконные изделия ПВХ</t>
  </si>
  <si>
    <t>07.06.2023-09.06.2023</t>
  </si>
  <si>
    <t xml:space="preserve">Акт выполнен-  ных работ </t>
  </si>
  <si>
    <t>// товары</t>
  </si>
  <si>
    <t xml:space="preserve">Монтаж одноуровневого потолка из ГКЛ </t>
  </si>
  <si>
    <t>Работы по демонтажу перегородок и элементов отопления в здании литер 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</si>
</sst>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/>
    </xf>
    <xf numFmtId="0" fontId="3" fillId="0" borderId="1" xfId="0" applyFont="1" applyBorder="1"/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2" fontId="4" fillId="0" borderId="1" xfId="0" applyNumberFormat="1" applyFont="1" applyBorder="1" applyAlignment="1">
      <alignment vertical="top"/>
    </xf>
    <xf numFmtId="0" fontId="3" fillId="2" borderId="4" xfId="0" applyFont="1" applyFill="1" applyBorder="1"/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 vertical="top"/>
    </xf>
    <xf numFmtId="14" fontId="4" fillId="0" borderId="1" xfId="0" applyNumberFormat="1" applyFont="1" applyBorder="1" applyAlignment="1">
      <alignment horizontal="left" vertical="top"/>
    </xf>
    <xf numFmtId="0" fontId="3" fillId="2" borderId="4" xfId="0" applyFont="1" applyFill="1" applyBorder="1" applyAlignment="1">
      <alignment vertical="top"/>
    </xf>
    <xf numFmtId="14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3" fillId="2" borderId="0" xfId="0" applyFont="1" applyFill="1"/>
    <xf numFmtId="2" fontId="3" fillId="0" borderId="1" xfId="0" applyNumberFormat="1" applyFont="1" applyBorder="1" applyAlignment="1">
      <alignment vertical="top"/>
    </xf>
    <xf numFmtId="4" fontId="4" fillId="0" borderId="0" xfId="0" applyNumberFormat="1" applyFont="1"/>
    <xf numFmtId="4" fontId="4" fillId="4" borderId="0" xfId="0" applyNumberFormat="1" applyFont="1" applyFill="1"/>
    <xf numFmtId="4" fontId="3" fillId="0" borderId="0" xfId="0" applyNumberFormat="1" applyFont="1"/>
    <xf numFmtId="4" fontId="1" fillId="3" borderId="0" xfId="0" applyNumberFormat="1" applyFont="1" applyFill="1"/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4" borderId="0" xfId="0" applyFont="1" applyFill="1" applyAlignment="1">
      <alignment horizontal="right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2" fontId="4" fillId="0" borderId="1" xfId="0" applyNumberFormat="1" applyFon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28"/>
  <sheetViews>
    <sheetView tabSelected="1" topLeftCell="B1" workbookViewId="0">
      <selection activeCell="C9" sqref="C9"/>
    </sheetView>
  </sheetViews>
  <sheetFormatPr defaultRowHeight="12.75" x14ac:dyDescent="0.2"/>
  <cols>
    <col min="1" max="1" width="0.5703125" style="3" customWidth="1"/>
    <col min="2" max="2" width="10.28515625" style="3" customWidth="1"/>
    <col min="3" max="3" width="15.42578125" style="3" customWidth="1"/>
    <col min="4" max="4" width="27.85546875" style="3" customWidth="1"/>
    <col min="5" max="5" width="11" style="3" customWidth="1"/>
    <col min="6" max="6" width="11.140625" style="3" customWidth="1"/>
    <col min="7" max="7" width="10.5703125" style="3" customWidth="1"/>
    <col min="8" max="8" width="12.140625" style="3" customWidth="1"/>
    <col min="9" max="9" width="1.7109375" style="3" customWidth="1"/>
    <col min="10" max="10" width="9.7109375" style="3" customWidth="1"/>
    <col min="11" max="11" width="8.7109375" style="3" customWidth="1"/>
    <col min="12" max="12" width="26.85546875" style="3" customWidth="1"/>
    <col min="13" max="13" width="12.5703125" style="3" customWidth="1"/>
    <col min="14" max="14" width="11.140625" style="3" customWidth="1"/>
    <col min="15" max="15" width="3.28515625" style="3" customWidth="1"/>
    <col min="16" max="16" width="13" style="3" customWidth="1"/>
    <col min="17" max="16384" width="9.140625" style="3"/>
  </cols>
  <sheetData>
    <row r="3" spans="1:16" x14ac:dyDescent="0.2">
      <c r="B3" s="33" t="s">
        <v>1</v>
      </c>
      <c r="C3" s="33"/>
      <c r="D3" s="33"/>
      <c r="E3" s="33"/>
      <c r="F3" s="33"/>
      <c r="G3" s="33"/>
      <c r="H3" s="34"/>
      <c r="I3" s="9"/>
      <c r="J3" s="35" t="s">
        <v>4</v>
      </c>
      <c r="K3" s="33"/>
      <c r="L3" s="33"/>
      <c r="M3" s="33"/>
      <c r="N3" s="33"/>
      <c r="O3" s="33"/>
      <c r="P3" s="33"/>
    </row>
    <row r="4" spans="1:16" s="10" customFormat="1" ht="23.25" customHeight="1" x14ac:dyDescent="0.2">
      <c r="B4" s="11" t="s">
        <v>5</v>
      </c>
      <c r="C4" s="7" t="s">
        <v>6</v>
      </c>
      <c r="D4" s="7" t="s">
        <v>8</v>
      </c>
      <c r="E4" s="12" t="s">
        <v>0</v>
      </c>
      <c r="F4" s="12" t="s">
        <v>2</v>
      </c>
      <c r="G4" s="12" t="s">
        <v>16</v>
      </c>
      <c r="H4" s="13" t="s">
        <v>3</v>
      </c>
      <c r="I4" s="9"/>
      <c r="J4" s="14" t="s">
        <v>5</v>
      </c>
      <c r="K4" s="7" t="s">
        <v>20</v>
      </c>
      <c r="L4" s="7" t="s">
        <v>8</v>
      </c>
      <c r="M4" s="7" t="s">
        <v>49</v>
      </c>
      <c r="N4" s="7" t="s">
        <v>7</v>
      </c>
      <c r="O4" s="11"/>
      <c r="P4" s="11" t="s">
        <v>3</v>
      </c>
    </row>
    <row r="5" spans="1:16" ht="41.25" customHeight="1" x14ac:dyDescent="0.2">
      <c r="B5" s="15" t="s">
        <v>23</v>
      </c>
      <c r="C5" s="16" t="s">
        <v>22</v>
      </c>
      <c r="D5" s="2" t="s">
        <v>39</v>
      </c>
      <c r="E5" s="17">
        <v>149426</v>
      </c>
      <c r="F5" s="17">
        <v>45126.65</v>
      </c>
      <c r="G5" s="5"/>
      <c r="H5" s="17">
        <f>SUM(E5:F5)</f>
        <v>194552.65</v>
      </c>
      <c r="I5" s="18"/>
      <c r="J5" s="19"/>
      <c r="K5" s="5"/>
      <c r="L5" s="5"/>
      <c r="M5" s="5"/>
      <c r="N5" s="5"/>
      <c r="O5" s="5"/>
      <c r="P5" s="5"/>
    </row>
    <row r="6" spans="1:16" x14ac:dyDescent="0.2">
      <c r="B6" s="15"/>
      <c r="C6" s="16"/>
      <c r="D6" s="2"/>
      <c r="E6" s="17"/>
      <c r="F6" s="17"/>
      <c r="G6" s="5"/>
      <c r="H6" s="17"/>
      <c r="I6" s="18"/>
      <c r="J6" s="21">
        <v>44935</v>
      </c>
      <c r="K6" s="16" t="s">
        <v>37</v>
      </c>
      <c r="L6" s="23" t="s">
        <v>50</v>
      </c>
      <c r="M6" s="5"/>
      <c r="N6" s="17">
        <v>50983</v>
      </c>
      <c r="O6" s="5"/>
      <c r="P6" s="17">
        <f>N6</f>
        <v>50983</v>
      </c>
    </row>
    <row r="7" spans="1:16" ht="39" customHeight="1" x14ac:dyDescent="0.2">
      <c r="B7" s="15" t="s">
        <v>26</v>
      </c>
      <c r="C7" s="16" t="s">
        <v>27</v>
      </c>
      <c r="D7" s="2" t="s">
        <v>28</v>
      </c>
      <c r="E7" s="17">
        <v>103500</v>
      </c>
      <c r="F7" s="17">
        <v>31257</v>
      </c>
      <c r="G7" s="5"/>
      <c r="H7" s="17">
        <f>SUM(E7:F7)</f>
        <v>134757</v>
      </c>
      <c r="I7" s="18"/>
      <c r="J7" s="19"/>
      <c r="K7" s="5"/>
      <c r="L7" s="5"/>
      <c r="M7" s="5"/>
      <c r="N7" s="5"/>
      <c r="O7" s="5"/>
      <c r="P7" s="17"/>
    </row>
    <row r="8" spans="1:16" s="4" customFormat="1" ht="40.5" customHeight="1" x14ac:dyDescent="0.25">
      <c r="A8" s="20"/>
      <c r="B8" s="21">
        <v>44987</v>
      </c>
      <c r="C8" s="16" t="s">
        <v>18</v>
      </c>
      <c r="D8" s="6"/>
      <c r="E8" s="6"/>
      <c r="F8" s="6"/>
      <c r="G8" s="2" t="s">
        <v>19</v>
      </c>
      <c r="H8" s="17">
        <v>13855</v>
      </c>
      <c r="I8" s="22"/>
      <c r="J8" s="32">
        <v>44979</v>
      </c>
      <c r="K8" s="16" t="s">
        <v>37</v>
      </c>
      <c r="L8" s="2" t="s">
        <v>52</v>
      </c>
      <c r="M8" s="17">
        <v>63816</v>
      </c>
      <c r="N8" s="6"/>
      <c r="O8" s="6"/>
      <c r="P8" s="17">
        <f>M8</f>
        <v>63816</v>
      </c>
    </row>
    <row r="9" spans="1:16" ht="38.25" x14ac:dyDescent="0.2">
      <c r="B9" s="15" t="s">
        <v>29</v>
      </c>
      <c r="C9" s="16" t="s">
        <v>30</v>
      </c>
      <c r="D9" s="2" t="s">
        <v>31</v>
      </c>
      <c r="E9" s="17">
        <v>63365</v>
      </c>
      <c r="F9" s="17">
        <v>19136.23</v>
      </c>
      <c r="G9" s="5"/>
      <c r="H9" s="17">
        <f>SUM(E9:F9)</f>
        <v>82501.23</v>
      </c>
      <c r="I9" s="18"/>
      <c r="J9" s="21"/>
      <c r="K9" s="16"/>
      <c r="L9" s="5"/>
      <c r="M9" s="5"/>
      <c r="N9" s="2"/>
      <c r="O9" s="5"/>
      <c r="P9" s="17"/>
    </row>
    <row r="10" spans="1:16" ht="38.25" x14ac:dyDescent="0.2">
      <c r="B10" s="15" t="s">
        <v>32</v>
      </c>
      <c r="C10" s="16" t="s">
        <v>30</v>
      </c>
      <c r="D10" s="2" t="s">
        <v>33</v>
      </c>
      <c r="E10" s="17">
        <v>115173</v>
      </c>
      <c r="F10" s="17">
        <v>34782.25</v>
      </c>
      <c r="G10" s="5"/>
      <c r="H10" s="17">
        <f>SUM(E10:F10)</f>
        <v>149955.25</v>
      </c>
      <c r="I10" s="18"/>
      <c r="J10" s="21"/>
      <c r="K10" s="16"/>
      <c r="L10" s="5"/>
      <c r="M10" s="5"/>
      <c r="N10" s="2"/>
      <c r="O10" s="5"/>
      <c r="P10" s="17"/>
    </row>
    <row r="11" spans="1:16" x14ac:dyDescent="0.2">
      <c r="B11" s="19"/>
      <c r="C11" s="5"/>
      <c r="D11" s="5"/>
      <c r="E11" s="5"/>
      <c r="F11" s="5"/>
      <c r="G11" s="5"/>
      <c r="H11" s="5"/>
      <c r="I11" s="18"/>
      <c r="J11" s="21">
        <v>45021</v>
      </c>
      <c r="K11" s="16" t="s">
        <v>37</v>
      </c>
      <c r="L11" s="5" t="s">
        <v>47</v>
      </c>
      <c r="M11" s="5"/>
      <c r="N11" s="17">
        <v>13855</v>
      </c>
      <c r="O11" s="5"/>
      <c r="P11" s="17">
        <v>13855</v>
      </c>
    </row>
    <row r="12" spans="1:16" s="4" customFormat="1" ht="53.25" customHeight="1" x14ac:dyDescent="0.25">
      <c r="B12" s="24"/>
      <c r="C12" s="6"/>
      <c r="D12" s="6"/>
      <c r="E12" s="6"/>
      <c r="F12" s="6"/>
      <c r="G12" s="6"/>
      <c r="H12" s="6"/>
      <c r="I12" s="22"/>
      <c r="J12" s="21">
        <v>45023</v>
      </c>
      <c r="K12" s="16" t="s">
        <v>37</v>
      </c>
      <c r="L12" s="2" t="s">
        <v>9</v>
      </c>
      <c r="M12" s="17">
        <v>60020</v>
      </c>
      <c r="N12" s="6"/>
      <c r="O12" s="6"/>
      <c r="P12" s="17">
        <f>SUM(M12:O12)</f>
        <v>60020</v>
      </c>
    </row>
    <row r="13" spans="1:16" s="4" customFormat="1" ht="36" customHeight="1" x14ac:dyDescent="0.25">
      <c r="A13" s="20"/>
      <c r="B13" s="21">
        <v>45036</v>
      </c>
      <c r="C13" s="16" t="s">
        <v>12</v>
      </c>
      <c r="D13" s="6"/>
      <c r="E13" s="6"/>
      <c r="F13" s="6"/>
      <c r="G13" s="1" t="s">
        <v>14</v>
      </c>
      <c r="H13" s="17">
        <v>23648</v>
      </c>
      <c r="I13" s="22"/>
      <c r="J13" s="23"/>
      <c r="K13" s="6"/>
      <c r="L13" s="2"/>
      <c r="M13" s="17"/>
      <c r="N13" s="6"/>
      <c r="O13" s="6"/>
      <c r="P13" s="17"/>
    </row>
    <row r="14" spans="1:16" s="4" customFormat="1" ht="36" customHeight="1" x14ac:dyDescent="0.25">
      <c r="A14" s="20"/>
      <c r="B14" s="21">
        <v>45036</v>
      </c>
      <c r="C14" s="16" t="s">
        <v>12</v>
      </c>
      <c r="D14" s="6"/>
      <c r="E14" s="6"/>
      <c r="F14" s="6"/>
      <c r="G14" s="1" t="s">
        <v>13</v>
      </c>
      <c r="H14" s="17">
        <v>85336</v>
      </c>
      <c r="I14" s="22"/>
      <c r="J14" s="23"/>
      <c r="K14" s="6"/>
      <c r="L14" s="2"/>
      <c r="M14" s="17"/>
      <c r="N14" s="6"/>
      <c r="O14" s="6"/>
      <c r="P14" s="17"/>
    </row>
    <row r="15" spans="1:16" ht="27" customHeight="1" x14ac:dyDescent="0.2">
      <c r="B15" s="19"/>
      <c r="C15" s="5"/>
      <c r="D15" s="5"/>
      <c r="E15" s="5"/>
      <c r="F15" s="5"/>
      <c r="G15" s="8"/>
      <c r="H15" s="5"/>
      <c r="I15" s="18"/>
      <c r="J15" s="37">
        <v>45041</v>
      </c>
      <c r="K15" s="38" t="s">
        <v>37</v>
      </c>
      <c r="L15" s="2" t="s">
        <v>10</v>
      </c>
      <c r="M15" s="17">
        <v>86850</v>
      </c>
      <c r="N15" s="39"/>
      <c r="O15" s="39"/>
      <c r="P15" s="40">
        <f>SUM(M15:O15)</f>
        <v>86850</v>
      </c>
    </row>
    <row r="16" spans="1:16" ht="38.25" customHeight="1" x14ac:dyDescent="0.2">
      <c r="B16" s="19"/>
      <c r="C16" s="5"/>
      <c r="D16" s="5"/>
      <c r="E16" s="5"/>
      <c r="F16" s="5"/>
      <c r="G16" s="8"/>
      <c r="H16" s="5"/>
      <c r="I16" s="26"/>
      <c r="J16" s="37"/>
      <c r="K16" s="38"/>
      <c r="L16" s="2" t="s">
        <v>11</v>
      </c>
      <c r="M16" s="27">
        <v>53250</v>
      </c>
      <c r="N16" s="39"/>
      <c r="O16" s="39"/>
      <c r="P16" s="40"/>
    </row>
    <row r="17" spans="1:16" s="4" customFormat="1" ht="36" customHeight="1" x14ac:dyDescent="0.25">
      <c r="A17" s="20"/>
      <c r="B17" s="21">
        <v>45043</v>
      </c>
      <c r="C17" s="16" t="s">
        <v>12</v>
      </c>
      <c r="D17" s="6"/>
      <c r="E17" s="6"/>
      <c r="F17" s="6"/>
      <c r="G17" s="1" t="s">
        <v>15</v>
      </c>
      <c r="H17" s="17">
        <v>36608</v>
      </c>
      <c r="I17" s="22"/>
      <c r="J17" s="23"/>
      <c r="K17" s="6"/>
      <c r="L17" s="2"/>
      <c r="M17" s="17"/>
      <c r="N17" s="6"/>
      <c r="O17" s="6"/>
      <c r="P17" s="17"/>
    </row>
    <row r="18" spans="1:16" ht="29.25" customHeight="1" x14ac:dyDescent="0.2">
      <c r="B18" s="19"/>
      <c r="C18" s="5"/>
      <c r="D18" s="5"/>
      <c r="E18" s="5"/>
      <c r="F18" s="5"/>
      <c r="G18" s="8"/>
      <c r="H18" s="5"/>
      <c r="I18" s="26"/>
      <c r="J18" s="21">
        <v>45051</v>
      </c>
      <c r="K18" s="16" t="s">
        <v>37</v>
      </c>
      <c r="L18" s="2" t="s">
        <v>21</v>
      </c>
      <c r="M18" s="17">
        <v>60020</v>
      </c>
      <c r="N18" s="6"/>
      <c r="O18" s="6"/>
      <c r="P18" s="17">
        <v>63240</v>
      </c>
    </row>
    <row r="19" spans="1:16" ht="39.75" customHeight="1" x14ac:dyDescent="0.2">
      <c r="B19" s="21">
        <v>45065</v>
      </c>
      <c r="C19" s="16" t="s">
        <v>12</v>
      </c>
      <c r="D19" s="6"/>
      <c r="E19" s="6"/>
      <c r="F19" s="6"/>
      <c r="G19" s="1" t="s">
        <v>17</v>
      </c>
      <c r="H19" s="17">
        <v>135650</v>
      </c>
      <c r="I19" s="26"/>
      <c r="J19" s="19"/>
      <c r="K19" s="5"/>
      <c r="L19" s="5"/>
      <c r="M19" s="5"/>
      <c r="N19" s="5"/>
      <c r="O19" s="5"/>
      <c r="P19" s="17"/>
    </row>
    <row r="20" spans="1:16" s="4" customFormat="1" ht="28.5" customHeight="1" x14ac:dyDescent="0.2">
      <c r="A20" s="20"/>
      <c r="B20" s="15" t="s">
        <v>34</v>
      </c>
      <c r="C20" s="16" t="s">
        <v>35</v>
      </c>
      <c r="D20" s="2" t="s">
        <v>36</v>
      </c>
      <c r="E20" s="17">
        <v>129740</v>
      </c>
      <c r="F20" s="17">
        <v>39181.480000000003</v>
      </c>
      <c r="G20" s="5"/>
      <c r="H20" s="17">
        <f>SUM(E20:F20)</f>
        <v>168921.48</v>
      </c>
      <c r="I20" s="22"/>
      <c r="J20" s="21">
        <v>45072</v>
      </c>
      <c r="K20" s="16" t="s">
        <v>37</v>
      </c>
      <c r="L20" s="2" t="s">
        <v>38</v>
      </c>
      <c r="M20" s="17">
        <v>53400</v>
      </c>
      <c r="N20" s="6"/>
      <c r="O20" s="6"/>
      <c r="P20" s="17">
        <f>M20</f>
        <v>53400</v>
      </c>
    </row>
    <row r="21" spans="1:16" s="4" customFormat="1" ht="27.75" customHeight="1" x14ac:dyDescent="0.25">
      <c r="A21" s="20"/>
      <c r="B21" s="21">
        <v>45092</v>
      </c>
      <c r="C21" s="16" t="s">
        <v>42</v>
      </c>
      <c r="D21" s="6"/>
      <c r="E21" s="6"/>
      <c r="F21" s="6"/>
      <c r="G21" s="1" t="s">
        <v>41</v>
      </c>
      <c r="H21" s="17">
        <v>53396</v>
      </c>
      <c r="I21" s="22"/>
      <c r="J21" s="21">
        <v>45082</v>
      </c>
      <c r="K21" s="16" t="s">
        <v>37</v>
      </c>
      <c r="L21" s="2" t="s">
        <v>40</v>
      </c>
      <c r="M21" s="17">
        <v>62400</v>
      </c>
      <c r="N21" s="6"/>
      <c r="O21" s="6"/>
      <c r="P21" s="17">
        <f>M21</f>
        <v>62400</v>
      </c>
    </row>
    <row r="22" spans="1:16" s="4" customFormat="1" ht="39.75" customHeight="1" x14ac:dyDescent="0.25">
      <c r="A22" s="20"/>
      <c r="B22" s="15" t="s">
        <v>43</v>
      </c>
      <c r="C22" s="16" t="s">
        <v>44</v>
      </c>
      <c r="D22" s="2" t="s">
        <v>45</v>
      </c>
      <c r="E22" s="6"/>
      <c r="F22" s="6"/>
      <c r="G22" s="1"/>
      <c r="H22" s="17">
        <v>487710</v>
      </c>
      <c r="I22" s="22"/>
      <c r="J22" s="21">
        <v>45084</v>
      </c>
      <c r="K22" s="16" t="s">
        <v>37</v>
      </c>
      <c r="L22" s="2" t="s">
        <v>46</v>
      </c>
      <c r="M22" s="17">
        <v>65340</v>
      </c>
      <c r="N22" s="6"/>
      <c r="O22" s="6"/>
      <c r="P22" s="17">
        <f>M22</f>
        <v>65340</v>
      </c>
    </row>
    <row r="23" spans="1:16" s="4" customFormat="1" ht="30.75" customHeight="1" x14ac:dyDescent="0.2">
      <c r="A23" s="20"/>
      <c r="B23" s="15" t="s">
        <v>48</v>
      </c>
      <c r="C23" s="16" t="s">
        <v>30</v>
      </c>
      <c r="D23" s="2" t="s">
        <v>51</v>
      </c>
      <c r="E23" s="17">
        <v>51285</v>
      </c>
      <c r="F23" s="17">
        <v>15488.07</v>
      </c>
      <c r="G23" s="5"/>
      <c r="H23" s="17">
        <f>SUM(E23:F23)</f>
        <v>66773.070000000007</v>
      </c>
      <c r="I23" s="22"/>
      <c r="J23" s="25"/>
      <c r="K23" s="16"/>
      <c r="L23" s="2"/>
      <c r="M23" s="17"/>
      <c r="N23" s="6"/>
      <c r="O23" s="6"/>
      <c r="P23" s="17"/>
    </row>
    <row r="24" spans="1:16" x14ac:dyDescent="0.2">
      <c r="E24" s="28">
        <f>SUM(E5:E23)</f>
        <v>612489</v>
      </c>
      <c r="F24" s="28">
        <f>SUM(F5:F23)</f>
        <v>184971.68</v>
      </c>
      <c r="G24" s="28">
        <f t="shared" ref="G24:H24" si="0">SUM(G5:G23)</f>
        <v>0</v>
      </c>
      <c r="H24" s="28">
        <f t="shared" si="0"/>
        <v>1633663.68</v>
      </c>
      <c r="M24" s="28">
        <f>SUM(M5:M22)</f>
        <v>505096</v>
      </c>
      <c r="N24" s="28">
        <f t="shared" ref="N24:P24" si="1">SUM(N5:N22)</f>
        <v>64838</v>
      </c>
      <c r="O24" s="28"/>
      <c r="P24" s="28">
        <f t="shared" si="1"/>
        <v>519904</v>
      </c>
    </row>
    <row r="25" spans="1:16" ht="17.25" customHeight="1" x14ac:dyDescent="0.2">
      <c r="B25" s="36" t="s">
        <v>24</v>
      </c>
      <c r="C25" s="36"/>
      <c r="D25" s="36"/>
      <c r="E25" s="36"/>
      <c r="F25" s="36"/>
      <c r="G25" s="36"/>
      <c r="H25" s="29">
        <f>SUM(H5:H23)</f>
        <v>1633663.68</v>
      </c>
      <c r="J25" s="36" t="s">
        <v>25</v>
      </c>
      <c r="K25" s="36"/>
      <c r="L25" s="36"/>
      <c r="M25" s="36"/>
      <c r="N25" s="36"/>
      <c r="O25" s="36"/>
      <c r="P25" s="29">
        <f>SUM(P5:P22)</f>
        <v>519904</v>
      </c>
    </row>
    <row r="26" spans="1:16" ht="3.75" customHeight="1" x14ac:dyDescent="0.2">
      <c r="P26" s="30"/>
    </row>
    <row r="27" spans="1:16" ht="15" x14ac:dyDescent="0.25">
      <c r="P27" s="31">
        <f>P25-H25</f>
        <v>-1113759.68</v>
      </c>
    </row>
    <row r="28" spans="1:16" x14ac:dyDescent="0.2">
      <c r="P28" s="30"/>
    </row>
  </sheetData>
  <mergeCells count="9">
    <mergeCell ref="B3:H3"/>
    <mergeCell ref="J3:P3"/>
    <mergeCell ref="B25:G25"/>
    <mergeCell ref="J25:O25"/>
    <mergeCell ref="J15:J16"/>
    <mergeCell ref="K15:K16"/>
    <mergeCell ref="N15:N16"/>
    <mergeCell ref="O15:O16"/>
    <mergeCell ref="P15:P16"/>
  </mergeCells>
  <pageMargins left="7.874015748031496E-2" right="7.874015748031496E-2" top="0.15748031496062992" bottom="0.15748031496062992" header="0.31496062992125984" footer="3.937007874015748E-2"/>
  <pageSetup paperSize="9" scale="77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ZAPEVALOV</cp:lastModifiedBy>
  <cp:lastPrinted>2023-09-13T07:28:38Z</cp:lastPrinted>
  <dcterms:created xsi:type="dcterms:W3CDTF">2023-06-26T09:28:59Z</dcterms:created>
  <dcterms:modified xsi:type="dcterms:W3CDTF">2023-09-13T07:28:42Z</dcterms:modified>
</cp:coreProperties>
</file>